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Raw_Financials" sheetId="2" r:id="rId2"/>
    <sheet name="Ratio_Calculations" sheetId="3" r:id="rId3"/>
    <sheet name="Analytical_Review" sheetId="4" r:id="rId4"/>
    <sheet name="Revenue_Workstream" sheetId="5" r:id="rId5"/>
    <sheet name="Risk_Register" sheetId="6" r:id="rId6"/>
    <sheet name="Audit_Flags" sheetId="7" r:id="rId7"/>
    <sheet name="Source_Log" sheetId="8" r:id="rId8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name val="Aptos"/>
      <family val="2"/>
    </font>
    <font>
      <b/>
      <sz val="14"/>
      <color rgb="FFFFFFFF"/>
      <name val="Aptos"/>
      <family val="2"/>
    </font>
    <font>
      <b/>
      <sz val="11"/>
      <name val="Aptos"/>
      <family val="2"/>
    </font>
    <font>
      <i/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B3D5C"/>
        <bgColor indexed="64"/>
      </patternFill>
    </fill>
    <fill>
      <patternFill patternType="solid">
        <fgColor rgb="FFDDE8EF"/>
        <bgColor indexed="64"/>
      </patternFill>
    </fill>
    <fill>
      <patternFill patternType="solid">
        <fgColor rgb="FFF4F7F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0" fontId="0" fillId="0" borderId="1" xfId="0" applyNumberForma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/>
  </sheetViews>
  <sheetFormatPr defaultRowHeight="18"/>
  <cols>
    <col min="1" max="1" width="32" customWidth="1"/>
    <col min="2" max="2" width="110" customWidth="1"/>
  </cols>
  <sheetData>
    <row r="1">
      <c r="A1" s="1" t="inlineStr">
        <is>
          <t>Audit Risk Review - easyJet plc FY2025</t>
        </is>
      </c>
    </row>
    <row r="2">
      <c r="A2" s="2" t="inlineStr">
        <is>
          <t>Workbook purpose</t>
        </is>
      </c>
      <c r="B2" s="0" t="inlineStr">
        <is>
          <t>Support schedules for the planning memo, with emphasis on IFRS 15 timing, variable consideration, cut-off and contract-liability movements.</t>
        </is>
      </c>
    </row>
    <row r="3">
      <c r="A3" s="2" t="inlineStr">
        <is>
          <t>How a Big 4 team would use this workbook</t>
        </is>
      </c>
      <c r="B3" s="0" t="inlineStr">
        <is>
          <t>(1) scope planning analytics; (2) map revenue streams to recognition triggers; (3) bridge contract liabilities to revenue release; and (4) tie narrative points back to the annual report.</t>
        </is>
      </c>
    </row>
    <row r="4">
      <c r="A4" s="2" t="inlineStr">
        <is>
          <t>Key technical points added in this revision</t>
        </is>
      </c>
      <c r="B4" s="0" t="inlineStr">
        <is>
          <t>Flown-date recognition, over-time holiday recognition, principal-versus-agent judgement, variable consideration from compensation and breakage, APD bridge, and year-end cut-off around customer liabilities.</t>
        </is>
      </c>
    </row>
    <row r="5">
      <c r="A5" s="2" t="inlineStr">
        <is>
          <t>Source base</t>
        </is>
      </c>
      <c r="B5" s="0" t="inlineStr">
        <is>
          <t>easyJet plc Annual Report and Accounts 2025 and the FY2025 investor reporting page.</t>
        </is>
      </c>
    </row>
  </sheetData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8"/>
  <cols>
    <col min="1" max="1" width="34" customWidth="1"/>
    <col min="2" max="2" width="14" customWidth="1"/>
    <col min="3" max="3" width="14" customWidth="1"/>
    <col min="4" max="4" width="18" customWidth="1"/>
    <col min="5" max="5" width="78" customWidth="1"/>
  </cols>
  <sheetData>
    <row r="1">
      <c r="A1" s="1" t="inlineStr">
        <is>
          <t>Planning Analytics</t>
        </is>
      </c>
    </row>
    <row r="2">
      <c r="A2" s="2" t="inlineStr">
        <is>
          <t>Metric</t>
        </is>
      </c>
      <c r="B2" s="2" t="inlineStr">
        <is>
          <t>FY2024</t>
        </is>
      </c>
      <c r="C2" s="2" t="inlineStr">
        <is>
          <t>FY2025</t>
        </is>
      </c>
      <c r="D2" s="2" t="inlineStr">
        <is>
          <t>Movement / calc</t>
        </is>
      </c>
      <c r="E2" s="2" t="inlineStr">
        <is>
          <t>Planning read-across</t>
        </is>
      </c>
    </row>
    <row r="3">
      <c r="A3" s="0" t="inlineStr">
        <is>
          <t>Group revenue (GBPm)</t>
        </is>
      </c>
      <c r="B3" s="0">
        <v>9309</v>
      </c>
      <c r="C3" s="0">
        <v>10106</v>
      </c>
      <c r="D3" s="0">
        <v>797</v>
      </c>
      <c r="E3" s="0" t="inlineStr">
        <is>
          <t>Supportive growth, but planning still needs to confirm it is consistent with capacity and flown sectors.</t>
        </is>
      </c>
    </row>
    <row r="4">
      <c r="A4" s="0" t="inlineStr">
        <is>
          <t>Group revenue growth</t>
        </is>
      </c>
      <c r="C4" s="3">
        <f>(C3/B3)-1</f>
        <v>0.0856160704694382</v>
      </c>
      <c r="E4" s="0" t="inlineStr">
        <is>
          <t>Useful high-level sense check; does not replace cut-off testing.</t>
        </is>
      </c>
    </row>
    <row r="5">
      <c r="A5" s="0" t="inlineStr">
        <is>
          <t>Airline revenue (GBPm)</t>
        </is>
      </c>
      <c r="B5" s="0">
        <v>8172</v>
      </c>
      <c r="C5" s="0">
        <v>8666</v>
      </c>
      <c r="D5" s="0">
        <v>494</v>
      </c>
      <c r="E5" s="0" t="inlineStr">
        <is>
          <t>Core airline growth is slower than Holidays, which matters because the recognition patterns differ.</t>
        </is>
      </c>
    </row>
    <row r="6">
      <c r="A6" s="0" t="inlineStr">
        <is>
          <t>Airline revenue growth</t>
        </is>
      </c>
      <c r="C6" s="3">
        <f>(C5/B5)-1</f>
        <v>0.06045031815956934</v>
      </c>
      <c r="E6" s="0" t="inlineStr">
        <is>
          <t>Mix shift means the team should not over-rely on prior-year revenue testing approaches.</t>
        </is>
      </c>
    </row>
    <row r="7">
      <c r="A7" s="0" t="inlineStr">
        <is>
          <t>easyJet holidays revenue (GBPm)</t>
        </is>
      </c>
      <c r="B7" s="0">
        <v>1521</v>
      </c>
      <c r="C7" s="0">
        <v>1917</v>
      </c>
      <c r="D7" s="0">
        <v>396</v>
      </c>
      <c r="E7" s="0" t="inlineStr">
        <is>
          <t>Fast growth means disproportionate planning attention is justified.</t>
        </is>
      </c>
    </row>
    <row r="8">
      <c r="A8" s="0" t="inlineStr">
        <is>
          <t>easyJet holidays growth</t>
        </is>
      </c>
      <c r="C8" s="3">
        <f>(C7/B7)-1</f>
        <v>0.2603546386587771</v>
      </c>
      <c r="E8" s="0" t="inlineStr">
        <is>
          <t>Over-time revenue recognition across the stay is a real technical issue here.</t>
        </is>
      </c>
    </row>
    <row r="9">
      <c r="A9" s="0" t="inlineStr">
        <is>
          <t>Operating margin</t>
        </is>
      </c>
      <c r="B9" s="3">
        <f>589/9309</f>
        <v>0.06327210226662369</v>
      </c>
      <c r="C9" s="3">
        <f>696/10106</f>
        <v>0.06886997823075401</v>
      </c>
      <c r="E9" s="0" t="inlineStr">
        <is>
          <t>Margin improvement should be challenged against trading, mix and estimation changes.</t>
        </is>
      </c>
    </row>
    <row r="10">
      <c r="A10" s="0" t="inlineStr">
        <is>
          <t>Receivables days</t>
        </is>
      </c>
      <c r="B10" s="0">
        <f>135/9309*365</f>
        <v>5.293264582661941</v>
      </c>
      <c r="C10" s="0">
        <f>130/10106*365</f>
        <v>4.695230556105284</v>
      </c>
      <c r="E10" s="0" t="inlineStr">
        <is>
          <t>Low days are expected because cash is generally collected before travel.</t>
        </is>
      </c>
    </row>
    <row r="11">
      <c r="A11" s="0" t="inlineStr">
        <is>
          <t>Cash conversion (cash generated from operations / operating profit)</t>
        </is>
      </c>
      <c r="B11" s="0">
        <f>1483/589</f>
        <v>2.5178268251273344</v>
      </c>
      <c r="C11" s="0">
        <f>1875/696</f>
        <v>2.6939655172413794</v>
      </c>
      <c r="E11" s="0" t="inlineStr">
        <is>
          <t>Revenue cannot be audited in isolation from contract liabilities.</t>
        </is>
      </c>
    </row>
    <row r="12">
      <c r="A12" s="0" t="inlineStr">
        <is>
          <t>Closing customer contract liabilities (GBPm)</t>
        </is>
      </c>
      <c r="B12" s="0">
        <f>1741+35</f>
        <v>1776</v>
      </c>
      <c r="C12" s="0">
        <f>1950+19</f>
        <v>1969</v>
      </c>
      <c r="D12" s="0">
        <v>193</v>
      </c>
      <c r="E12" s="0" t="inlineStr">
        <is>
          <t>Large closing liabilities explain why balance-sheet testing is central to the revenue workstream.</t>
        </is>
      </c>
    </row>
    <row r="13">
      <c r="A13" s="0" t="inlineStr">
        <is>
          <t>Closing customer contract liabilities as % of revenue</t>
        </is>
      </c>
      <c r="B13" s="3">
        <f>(1741+35)/9309</f>
        <v>0.19078203888709852</v>
      </c>
      <c r="C13" s="3">
        <f>(1950+19)/10106</f>
        <v>0.19483475163269345</v>
      </c>
      <c r="E13" s="0" t="inlineStr">
        <is>
          <t>A better planning metric for an airline than inventory days or gross margin.</t>
        </is>
      </c>
    </row>
    <row r="14">
      <c r="A14" s="0" t="inlineStr">
        <is>
          <t>Revenue recognised from opening customer liabilities (GBPm)</t>
        </is>
      </c>
      <c r="B14" s="0">
        <f>1399+47</f>
        <v>1446</v>
      </c>
      <c r="C14" s="0">
        <f>1678+25</f>
        <v>1703</v>
      </c>
      <c r="D14" s="0">
        <v>257</v>
      </c>
      <c r="E14" s="0" t="inlineStr">
        <is>
          <t>Shows how much of current-year revenue was already sitting on the prior-year balance sheet.</t>
        </is>
      </c>
    </row>
    <row r="15">
      <c r="A15" s="0" t="inlineStr">
        <is>
          <t>Maintenance provision as % of revenue</t>
        </is>
      </c>
      <c r="B15" s="3">
        <f>894/9309</f>
        <v>0.09603609410248146</v>
      </c>
      <c r="C15" s="3">
        <f>939/10106</f>
        <v>0.09291509994062933</v>
      </c>
      <c r="E15" s="0" t="inlineStr">
        <is>
          <t>Quick sense check of scale for the key judgemental estimate on the file.</t>
        </is>
      </c>
    </row>
  </sheetData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8"/>
  <cols>
    <col min="1" max="1" width="24" customWidth="1"/>
    <col min="2" max="2" width="40" customWidth="1"/>
    <col min="3" max="3" width="20" customWidth="1"/>
    <col min="4" max="4" width="40" customWidth="1"/>
    <col min="5" max="5" width="46" customWidth="1"/>
  </cols>
  <sheetData>
    <row r="1">
      <c r="A1" s="1" t="inlineStr">
        <is>
          <t>Risk Register</t>
        </is>
      </c>
    </row>
    <row r="2">
      <c r="A2" s="2" t="inlineStr">
        <is>
          <t>Risk area</t>
        </is>
      </c>
      <c r="B2" s="2" t="inlineStr">
        <is>
          <t>Why it matters</t>
        </is>
      </c>
      <c r="C2" s="2" t="inlineStr">
        <is>
          <t>Assertion / angle</t>
        </is>
      </c>
      <c r="D2" s="2" t="inlineStr">
        <is>
          <t>Failure mode</t>
        </is>
      </c>
      <c r="E2" s="2" t="inlineStr">
        <is>
          <t>Planning response</t>
        </is>
      </c>
    </row>
    <row r="3">
      <c r="A3" s="0" t="inlineStr">
        <is>
          <t>Revenue and customer contract liabilities</t>
        </is>
      </c>
      <c r="B3" s="0" t="inlineStr">
        <is>
          <t>IFRS 15 is applied across different triggers: passenger seats and most ancillaries at flown date, cancellation fees when processed, easyJet Plus over membership term, partner commissions net as agent, and Holidays non-flight elements over the stay. The balance sheet closed with GBP1.95bn of unearned revenue and GBP19m of other customer contract liabilities.</t>
        </is>
      </c>
      <c r="C3" s="0" t="inlineStr">
        <is>
          <t>Cut-off, completeness, accuracy, valuation and presentation; presumed fraud risk around revenue timing.</t>
        </is>
      </c>
      <c r="D3" s="0" t="inlineStr">
        <is>
          <t>Unearned revenue may be released too early or too late; cancelled flights may stay in unearned revenue instead of moving to refund or voucher liabilities; breakage may be recognised too aggressively; partner revenue may be grossed up incorrectly; Holidays revenue may be recognised at departure rather than over the holiday.</t>
        </is>
      </c>
      <c r="E3" s="0" t="inlineStr">
        <is>
          <t>Walk through booking, flown, cancellation and voucher flows; test key automated rules; reperform the contract-liability roll-forward; select flights and holidays spanning 30 September; inspect partner and insurance contracts for principal-agent; challenge breakage and compensation assumptions using post year-end data and disruption trends.</t>
        </is>
      </c>
    </row>
    <row r="4">
      <c r="A4" s="0" t="inlineStr">
        <is>
          <t>Leased aircraft maintenance provision</t>
        </is>
      </c>
      <c r="B4" s="0" t="inlineStr">
        <is>
          <t>PwC treated this as the FY25 Group key audit matter. The year-end provision of GBP939m is sensitive to utilisation, contract terms, uncontracted maintenance costs, inflation, discount rates and USD exposure.</t>
        </is>
      </c>
      <c r="C4" s="0" t="inlineStr">
        <is>
          <t>Valuation, completeness, accuracy.</t>
        </is>
      </c>
      <c r="D4" s="0" t="inlineStr">
        <is>
          <t>The provision could be understated if assumptions on heavy-maintenance timing, escalation or lease-return outcomes are too optimistic. Current versus non-current classification can also move materially.</t>
        </is>
      </c>
      <c r="E4" s="0" t="inlineStr">
        <is>
          <t>Obtain the model early; map major leased-aircraft populations; test flying hours and cycles to engineering records; compare cost assumptions to recent shop visits and third-party contracts; review lease terms for restoration versus penalty outcomes; challenge discounting and sensitivity analysis.</t>
        </is>
      </c>
    </row>
    <row r="5">
      <c r="A5" s="0" t="inlineStr">
        <is>
          <t>Customer claims, cancellations, ETS and other judgemental accruals</t>
        </is>
      </c>
      <c r="B5" s="0" t="inlineStr">
        <is>
          <t>The Audit Committee highlighted customer claims, disruption-related liabilities, ETS obligations and legal exposures. These balances can change quickly when operational disruption rises.</t>
        </is>
      </c>
      <c r="C5" s="0" t="inlineStr">
        <is>
          <t>Completeness, valuation, cut-off, presentation.</t>
        </is>
      </c>
      <c r="D5" s="0" t="inlineStr">
        <is>
          <t>Compensation, refunds, vouchers, ETS accruals or litigation provisions may be incomplete or based on stale assumptions. Operational events may not be reflected consistently across accruals, payables and disclosures.</t>
        </is>
      </c>
      <c r="E5" s="0" t="inlineStr">
        <is>
          <t>Use disruption and cancellation data to challenge accrual completeness; test post year-end settlements; inspect legal and claims correspondence; recalculate ETS accruals to emissions and allowance data; assess whether the same operational events have been captured consistently across all affected balances.</t>
        </is>
      </c>
    </row>
    <row r="6">
      <c r="A6" s="0" t="inlineStr">
        <is>
          <t>Carrying value of Airline assets</t>
        </is>
      </c>
      <c r="B6" s="0" t="inlineStr">
        <is>
          <t>Goodwill of GBP387m, landing rights of GBP155m and the wider Airline asset base depend on value-in-use assumptions in a commercially sensitive industry exposed to yields, fuel, FX, carbon and capacity.</t>
        </is>
      </c>
      <c r="C6" s="0" t="inlineStr">
        <is>
          <t>Valuation and disclosure.</t>
        </is>
      </c>
      <c r="D6" s="0" t="inlineStr">
        <is>
          <t>Management may rely on optimistic assumptions for route profitability, yields, cost pass-through or capacity growth, and downside scenarios may not be severe enough for a cyclical airline.</t>
        </is>
      </c>
      <c r="E6" s="0" t="inlineStr">
        <is>
          <t>Tie the model to Board-approved plans; compare revenue, yield and capacity assumptions to external market evidence and internal trading; involve valuation support on WACC; challenge whether carbon, ETS and SAF costs are reflected consistently; focus on downside scenarios that genuinely erode headroom.</t>
        </is>
      </c>
    </row>
    <row r="7">
      <c r="A7" s="0" t="inlineStr">
        <is>
          <t>Going concern and liquidity planning</t>
        </is>
      </c>
      <c r="B7" s="0" t="inlineStr">
        <is>
          <t>Going concern is not a formality in aviation. easyJet ended FY25 with GBP602m net cash and GBP4.8bn of available liquidity including a committed USD1.7bn RCF, but the resilience case still depends on downside assumptions and executable management actions.</t>
        </is>
      </c>
      <c r="C7" s="0" t="inlineStr">
        <is>
          <t>Disclosure, completeness, presentation.</t>
        </is>
      </c>
      <c r="D7" s="0" t="inlineStr">
        <is>
          <t>Downside assumptions may be too mild, or mitigations such as delaying aircraft deliveries or reducing capex may be assumed without enough evidence they are controllable in the required timeframe.</t>
        </is>
      </c>
      <c r="E7" s="0" t="inlineStr">
        <is>
          <t>Review the base case and severe downside model as a planning workstream, not a late-stage memo; test consistency with principal risks, fleet commitments and financing maturities; inspect facility agreements; challenge the practicality and timing of management actions; reassess whether post year-end events change the credibility of the downside case.</t>
        </is>
      </c>
    </row>
  </sheetData>
</worksheet>
</file>

<file path=xl/worksheets/sheet4.xml><?xml version="1.0" encoding="utf-8"?>
<worksheet xmlns="http://schemas.openxmlformats.org/spreadsheetml/2006/main">
  <dimension ref="A1:F22"/>
  <sheetViews>
    <sheetView workbookViewId="0"/>
  </sheetViews>
  <sheetFormatPr defaultRowHeight="18"/>
  <cols>
    <col min="1" max="1" width="28" customWidth="1"/>
    <col min="2" max="2" width="18" customWidth="1"/>
    <col min="3" max="3" width="28" customWidth="1"/>
    <col min="4" max="4" width="36" customWidth="1"/>
    <col min="5" max="5" width="28" customWidth="1"/>
    <col min="6" max="6" width="42" customWidth="1"/>
  </cols>
  <sheetData>
    <row r="1">
      <c r="A1" s="1" t="inlineStr">
        <is>
          <t>Revenue Workstream - IFRS 15 technical focus</t>
        </is>
      </c>
    </row>
    <row r="2">
      <c r="A2" s="4" t="inlineStr">
        <is>
          <t>Technical note</t>
        </is>
      </c>
      <c r="B2" s="4" t="inlineStr">
        <is>
          <t>The contract-liability roll-forward is presented inclusive of airline passenger duty, while passenger revenue is recognised excluding APD. The planning file should therefore build an explicit APD bridge rather than forcing a direct tie.</t>
        </is>
      </c>
    </row>
    <row r="3">
      <c r="A3" s="2" t="inlineStr">
        <is>
          <t>Revenue stream</t>
        </is>
      </c>
      <c r="B3" s="2" t="inlineStr">
        <is>
          <t>FY2025 disclosed amount (GBPm)</t>
        </is>
      </c>
      <c r="C3" s="2" t="inlineStr">
        <is>
          <t>IFRS 15 timing</t>
        </is>
      </c>
      <c r="D3" s="2" t="inlineStr">
        <is>
          <t>Variable consideration / judgement</t>
        </is>
      </c>
      <c r="E3" s="2" t="inlineStr">
        <is>
          <t>Main cut-off risk</t>
        </is>
      </c>
      <c r="F3" s="2" t="inlineStr">
        <is>
          <t>Audit / advisory focus</t>
        </is>
      </c>
    </row>
    <row r="4">
      <c r="A4" s="0" t="inlineStr">
        <is>
          <t>Passenger revenue</t>
        </is>
      </c>
      <c r="B4" s="0">
        <v>6072</v>
      </c>
      <c r="C4" s="0" t="inlineStr">
        <is>
          <t>Point in time when the flight takes place; no-shows recognised once the flight has departed.</t>
        </is>
      </c>
      <c r="D4" s="0" t="inlineStr">
        <is>
          <t>Delay and cancellation compensation offsets revenue up to the related fare; liability uses known events, passengers impacted and claim-rate estimates.</t>
        </is>
      </c>
      <c r="E4" s="0" t="inlineStr">
        <is>
          <t>Flights sold before 30 September but flown after it; cancelled flights moved to refund or voucher liabilities.</t>
        </is>
      </c>
      <c r="F4" s="0" t="inlineStr">
        <is>
          <t>Test the flown-date trigger, contract-liability unwind, post year-end flights and compensation model inputs; inspect manual journals around period end.</t>
        </is>
      </c>
    </row>
    <row r="5">
      <c r="A5" s="0" t="inlineStr">
        <is>
          <t>Airline ancillary revenue</t>
        </is>
      </c>
      <c r="B5" s="0" t="inlineStr">
        <is>
          <t>Not separately disclosed</t>
        </is>
      </c>
      <c r="C5" s="0" t="inlineStr">
        <is>
          <t>Generally point in time when the flight takes place; cancellation fees recognised when the cancellation request is processed.</t>
        </is>
      </c>
      <c r="D5" s="0" t="inlineStr">
        <is>
          <t>Different ancillary products may have different recognition triggers, especially change and cancellation fees.</t>
        </is>
      </c>
      <c r="E5" s="0" t="inlineStr">
        <is>
          <t>Ancillaries linked to year-end flights can be released in the wrong period if product mapping is wrong.</t>
        </is>
      </c>
      <c r="F5" s="0" t="inlineStr">
        <is>
          <t>Walk through product mapping from booking system to ledger; test event-date logic by ancillary type.</t>
        </is>
      </c>
    </row>
    <row r="6">
      <c r="A6" s="0" t="inlineStr">
        <is>
          <t>Partner revenue and in-flight sales</t>
        </is>
      </c>
      <c r="B6" s="0" t="inlineStr">
        <is>
          <t>Not separately disclosed</t>
        </is>
      </c>
      <c r="C6" s="0" t="inlineStr">
        <is>
          <t>Recognised net as commission because easyJet acts as agent; travel insurance commission recognised at booking.</t>
        </is>
      </c>
      <c r="D6" s="0" t="inlineStr">
        <is>
          <t>Principal-versus-agent judgement and correct trigger for travel-insurance commission.</t>
        </is>
      </c>
      <c r="E6" s="0" t="inlineStr">
        <is>
          <t>Gross presentation or wrong booking/service trigger could overstate revenue.</t>
        </is>
      </c>
      <c r="F6" s="0" t="inlineStr">
        <is>
          <t>Inspect partner agreements, confirm who controls the service and who bears inventory risk, and compare gross cash with net revenue recognition.</t>
        </is>
      </c>
    </row>
    <row r="7">
      <c r="A7" s="0" t="inlineStr">
        <is>
          <t>easyJet Plus</t>
        </is>
      </c>
      <c r="B7" s="0" t="inlineStr">
        <is>
          <t>Not separately disclosed</t>
        </is>
      </c>
      <c r="C7" s="0" t="inlineStr">
        <is>
          <t>Recognised evenly over the annual membership period.</t>
        </is>
      </c>
      <c r="D7" s="0" t="inlineStr">
        <is>
          <t>Deferred income period, renewals and start-date logic.</t>
        </is>
      </c>
      <c r="E7" s="0" t="inlineStr">
        <is>
          <t>Membership income released too quickly around year end.</t>
        </is>
      </c>
      <c r="F7" s="0" t="inlineStr">
        <is>
          <t>Test member start and end dates and reperform straight-line release on a sample basis.</t>
        </is>
      </c>
    </row>
    <row r="8">
      <c r="A8" s="0" t="inlineStr">
        <is>
          <t>easyJet holidays non-flight revenue</t>
        </is>
      </c>
      <c r="B8" s="0">
        <v>1917</v>
      </c>
      <c r="C8" s="0" t="inlineStr">
        <is>
          <t>Recognised over time across the holiday period; flight revenue is netted out of the holidays revenue line.</t>
        </is>
      </c>
      <c r="D8" s="0" t="inlineStr">
        <is>
          <t>Refunds, vouchers and holidays spanning year end require judgement over the amount earned to date.</t>
        </is>
      </c>
      <c r="E8" s="0" t="inlineStr">
        <is>
          <t>Revenue recognised at departure instead of over the stay, or cut-off based on booking date rather than days consumed.</t>
        </is>
      </c>
      <c r="F8" s="0" t="inlineStr">
        <is>
          <t>Select bookings spanning 30 September and reperform apportionment over the stay; challenge policy application in system or manual schedules.</t>
        </is>
      </c>
    </row>
    <row r="9">
      <c r="A9" s="2" t="inlineStr">
        <is>
          <t>Contract liability roll-forward</t>
        </is>
      </c>
    </row>
    <row r="10">
      <c r="A10" s="2" t="inlineStr">
        <is>
          <t>Item</t>
        </is>
      </c>
      <c r="B10" s="2" t="inlineStr">
        <is>
          <t>FY2024</t>
        </is>
      </c>
      <c r="C10" s="2" t="inlineStr">
        <is>
          <t>FY2025</t>
        </is>
      </c>
      <c r="D10" s="2" t="inlineStr">
        <is>
          <t>Technical note</t>
        </is>
      </c>
    </row>
    <row r="11">
      <c r="A11" s="0" t="inlineStr">
        <is>
          <t>Opening unearned revenue</t>
        </is>
      </c>
      <c r="B11" s="0">
        <v>1501</v>
      </c>
      <c r="C11" s="0">
        <v>1741</v>
      </c>
      <c r="D11" s="0" t="inlineStr">
        <is>
          <t>Opening balance released as flights and holidays are provided.</t>
        </is>
      </c>
    </row>
    <row r="12">
      <c r="A12" s="0" t="inlineStr">
        <is>
          <t>Opening other customer contract liabilities</t>
        </is>
      </c>
      <c r="B12" s="0">
        <v>79</v>
      </c>
      <c r="C12" s="0">
        <v>35</v>
      </c>
      <c r="D12" s="0" t="inlineStr">
        <is>
          <t>Mainly vouchers and amounts awaiting customer instruction after cancellations.</t>
        </is>
      </c>
    </row>
    <row r="13">
      <c r="A13" s="0" t="inlineStr">
        <is>
          <t>Revenue deferred during the year</t>
        </is>
      </c>
      <c r="B13" s="0">
        <v>10170</v>
      </c>
      <c r="C13" s="0">
        <v>11019</v>
      </c>
      <c r="D13" s="0" t="inlineStr">
        <is>
          <t>Inclusive of APD and other charges.</t>
        </is>
      </c>
    </row>
    <row r="14">
      <c r="A14" s="0" t="inlineStr">
        <is>
          <t>Revenue recognised during the year - unearned revenue</t>
        </is>
      </c>
      <c r="B14" s="0">
        <v>-9219</v>
      </c>
      <c r="C14" s="0">
        <v>-10045</v>
      </c>
      <c r="D14" s="0" t="inlineStr">
        <is>
          <t>Release of revenue as performance obligations are satisfied.</t>
        </is>
      </c>
    </row>
    <row r="15">
      <c r="A15" s="0" t="inlineStr">
        <is>
          <t>Airline passenger duty on revenue recognised</t>
        </is>
      </c>
      <c r="B15" s="0">
        <v>-711</v>
      </c>
      <c r="C15" s="0">
        <v>-765</v>
      </c>
      <c r="D15" s="0" t="inlineStr">
        <is>
          <t>Explains why the contract-liability roll-forward does not tie directly to the passenger revenue line.</t>
        </is>
      </c>
    </row>
    <row r="16">
      <c r="A16" s="0" t="inlineStr">
        <is>
          <t>Additional other customer contract liability</t>
        </is>
      </c>
      <c r="B16" s="0">
        <v>187</v>
      </c>
      <c r="C16" s="0">
        <v>186</v>
      </c>
      <c r="D16" s="0" t="inlineStr">
        <is>
          <t>Arises as flights are cancelled and customers elect vouchers or delay instruction.</t>
        </is>
      </c>
    </row>
    <row r="17">
      <c r="A17" s="0" t="inlineStr">
        <is>
          <t>Reduction in other customer contract liability</t>
        </is>
      </c>
      <c r="B17" s="0">
        <v>-184</v>
      </c>
      <c r="C17" s="0">
        <v>-184</v>
      </c>
      <c r="D17" s="0" t="inlineStr">
        <is>
          <t>Redemptions, refunds and other resolution of customer options.</t>
        </is>
      </c>
    </row>
    <row r="18">
      <c r="A18" s="0" t="inlineStr">
        <is>
          <t>Foreign exchange impact</t>
        </is>
      </c>
      <c r="B18" s="0">
        <v>0</v>
      </c>
      <c r="C18" s="0">
        <v>1</v>
      </c>
      <c r="D18" s="0" t="inlineStr">
        <is>
          <t>Minor movement in FY2025.</t>
        </is>
      </c>
    </row>
    <row r="19">
      <c r="A19" s="0" t="inlineStr">
        <is>
          <t>Closing unearned revenue</t>
        </is>
      </c>
      <c r="B19" s="0">
        <v>1741</v>
      </c>
      <c r="C19" s="0">
        <v>1950</v>
      </c>
      <c r="D19" s="0" t="inlineStr">
        <is>
          <t>Key year-end balance for cut-off and completeness testing.</t>
        </is>
      </c>
    </row>
    <row r="20">
      <c r="A20" s="0" t="inlineStr">
        <is>
          <t>Closing other customer contract liabilities</t>
        </is>
      </c>
      <c r="B20" s="0">
        <v>35</v>
      </c>
      <c r="C20" s="0">
        <v>19</v>
      </c>
      <c r="D20" s="0" t="inlineStr">
        <is>
          <t>Monitor classification between unearned revenue and other payables after cancellations.</t>
        </is>
      </c>
    </row>
    <row r="21">
      <c r="A21" s="0" t="inlineStr">
        <is>
          <t>Revenue recognised from opening unearned revenue</t>
        </is>
      </c>
      <c r="B21" s="0">
        <v>1399</v>
      </c>
      <c r="C21" s="0">
        <v>1678</v>
      </c>
      <c r="D21" s="0" t="inlineStr">
        <is>
          <t>Useful bridge for the revenue workstream.</t>
        </is>
      </c>
    </row>
    <row r="22">
      <c r="A22" s="0" t="inlineStr">
        <is>
          <t>Revenue recognised from opening other customer contract liabilities</t>
        </is>
      </c>
      <c r="B22" s="0">
        <v>47</v>
      </c>
      <c r="C22" s="0">
        <v>25</v>
      </c>
      <c r="D22" s="0" t="inlineStr">
        <is>
          <t>Shows how much opening voucher/refund liability cleared into revenue.</t>
        </is>
      </c>
    </row>
  </sheetData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8"/>
  <cols>
    <col min="1" max="1" width="40" customWidth="1"/>
    <col min="2" max="2" width="56" customWidth="1"/>
    <col min="3" max="3" width="32" customWidth="1"/>
  </cols>
  <sheetData>
    <row r="1">
      <c r="A1" s="1" t="inlineStr">
        <is>
          <t>Source Log</t>
        </is>
      </c>
    </row>
    <row r="2">
      <c r="A2" s="2" t="inlineStr">
        <is>
          <t>Source</t>
        </is>
      </c>
      <c r="B2" s="2" t="inlineStr">
        <is>
          <t>Why used</t>
        </is>
      </c>
      <c r="C2" s="2" t="inlineStr">
        <is>
          <t>Relevant pages / lines</t>
        </is>
      </c>
    </row>
    <row r="3">
      <c r="A3" s="0" t="inlineStr">
        <is>
          <t>easyJet Annual Report and Accounts 2025</t>
        </is>
      </c>
      <c r="B3" s="0" t="inlineStr">
        <is>
          <t>Primary source for revenue policies, contract liabilities, provisions, liquidity and the auditor's key audit matter.</t>
        </is>
      </c>
      <c r="C3" s="0" t="inlineStr">
        <is>
          <t>Revenue policy pages 155-156; contract liabilities pages 167-168; auditor report page 139.</t>
        </is>
      </c>
    </row>
    <row r="4">
      <c r="A4" s="0" t="inlineStr">
        <is>
          <t>easyJet FY2025 annual report investor page</t>
        </is>
      </c>
      <c r="B4" s="0" t="inlineStr">
        <is>
          <t>Official investor source confirming the FY2025 filing and supporting public presentation context.</t>
        </is>
      </c>
      <c r="C4" s="0" t="inlineStr">
        <is>
          <t>Investor reports and presentations page for 2025 annual report.</t>
        </is>
      </c>
    </row>
  </sheetData>
</worksheet>
</file>

<file path=xl/worksheets/sheet6.xml><?xml version="1.0" encoding="utf-8"?>
<worksheet xmlns="http://schemas.openxmlformats.org/spreadsheetml/2006/main">
  <dimension ref="A1:D7"/>
  <sheetViews>
    <sheetView workbookViewId="0"/>
  </sheetViews>
  <sheetFormatPr defaultRowHeight="18"/>
  <cols>
    <col min="1" max="1" width="24" customWidth="1"/>
    <col min="2" max="2" width="34" customWidth="1"/>
    <col min="3" max="3" width="34" customWidth="1"/>
    <col min="4" max="4" width="44" customWidth="1"/>
  </cols>
  <sheetData>
    <row r="1">
      <c r="A1" s="1" t="inlineStr">
        <is>
          <t>Risk Register</t>
        </is>
      </c>
    </row>
    <row r="2">
      <c r="A2" s="2" t="inlineStr">
        <is>
          <t>Risk area</t>
        </is>
      </c>
      <c r="B2" s="2" t="inlineStr">
        <is>
          <t>Key data signal</t>
        </is>
      </c>
      <c r="C2" s="2" t="inlineStr">
        <is>
          <t>Why it matters</t>
        </is>
      </c>
      <c r="D2" s="2" t="inlineStr">
        <is>
          <t>Planning response</t>
        </is>
      </c>
    </row>
    <row r="3">
      <c r="A3" s="0" t="inlineStr">
        <is>
          <t>Revenue and customer liabilities</t>
        </is>
      </c>
      <c r="B3" s="0" t="inlineStr">
        <is>
          <t>Customer contract liabilities increased from GBP1.776bn to GBP1.969bn; 19.5% of revenue at year end.</t>
        </is>
      </c>
      <c r="C3" s="0" t="inlineStr">
        <is>
          <t>Large balance-sheet exposure beneath reported revenue makes cut-off and completeness central.</t>
        </is>
      </c>
      <c r="D3" s="0" t="inlineStr">
        <is>
          <t>System walkthroughs, roll-forward reperformance, population analytics and post year-end testing.</t>
        </is>
      </c>
    </row>
    <row r="4">
      <c r="A4" s="0" t="inlineStr">
        <is>
          <t>Maintenance provision</t>
        </is>
      </c>
      <c r="B4" s="0" t="inlineStr">
        <is>
          <t>Provision increased from GBP894m to GBP939m; still 9.3% of revenue.</t>
        </is>
      </c>
      <c r="C4" s="0" t="inlineStr">
        <is>
          <t>Largest judgemental provision and a disclosed key audit matter.</t>
        </is>
      </c>
      <c r="D4" s="0" t="inlineStr">
        <is>
          <t>Early model challenge, engineering data testing and specialist review.</t>
        </is>
      </c>
    </row>
    <row r="5">
      <c r="A5" s="0" t="inlineStr">
        <is>
          <t>Liquidity and going concern</t>
        </is>
      </c>
      <c r="B5" s="0" t="inlineStr">
        <is>
          <t>Adjusted net cash improved from GBP181m to GBP602m and liquidity cover excluding customer balances improved from 1.47x to 1.88x.</t>
        </is>
      </c>
      <c r="C5" s="0" t="inlineStr">
        <is>
          <t>Year-end liquidity improved, but reliance on customer cash timing and operational resilience remains high and the sector remains volatile.</t>
        </is>
      </c>
      <c r="D5" s="0" t="inlineStr">
        <is>
          <t>Challenge downside cases, mitigations, financing terms and delivery flexibility.</t>
        </is>
      </c>
    </row>
    <row r="6">
      <c r="A6" s="0" t="inlineStr">
        <is>
          <t>Impairment and asset carrying value</t>
        </is>
      </c>
      <c r="B6" s="0" t="inlineStr">
        <is>
          <t>Owned PPE GBP4.791bn, ROU assets GBP1.015bn, goodwill GBP387m, other intangibles GBP384m.</t>
        </is>
      </c>
      <c r="C6" s="0" t="inlineStr">
        <is>
          <t>Large forecast-dependent asset base in a commercially sensitive sector.</t>
        </is>
      </c>
      <c r="D6" s="0" t="inlineStr">
        <is>
          <t>Tie VIU assumptions to Board plans and challenge downside headroom.</t>
        </is>
      </c>
    </row>
    <row r="7">
      <c r="A7" s="0" t="inlineStr">
        <is>
          <t>Advisory / TS crossover</t>
        </is>
      </c>
      <c r="B7" s="0" t="inlineStr">
        <is>
          <t>Customer liabilities GBP1.969bn; maintenance provision GBP939m; leases GBP1.045bn.</t>
        </is>
      </c>
      <c r="C7" s="0" t="inlineStr">
        <is>
          <t>These balances would also matter in diligence through revenue quality, net working capital and debt-like item discussions.</t>
        </is>
      </c>
      <c r="D7" s="0" t="inlineStr">
        <is>
          <t>Keep the bridge and classification analysis clear enough to support audit, advisory and deal-oriented discussion.</t>
        </is>
      </c>
    </row>
  </sheetData>
</worksheet>
</file>

<file path=xl/worksheets/sheet7.xml><?xml version="1.0" encoding="utf-8"?>
<worksheet xmlns="http://schemas.openxmlformats.org/spreadsheetml/2006/main">
  <dimension ref="A1:C8"/>
  <sheetViews>
    <sheetView workbookViewId="0"/>
  </sheetViews>
  <sheetFormatPr defaultRowHeight="18"/>
  <cols>
    <col min="1" max="1" width="24" customWidth="1"/>
    <col min="2" max="2" width="34" customWidth="1"/>
    <col min="3" max="3" width="42" customWidth="1"/>
  </cols>
  <sheetData>
    <row r="1">
      <c r="A1" s="1" t="inlineStr">
        <is>
          <t>Audit Flags</t>
        </is>
      </c>
    </row>
    <row r="2">
      <c r="A2" s="2" t="inlineStr">
        <is>
          <t>Flag</t>
        </is>
      </c>
      <c r="B2" s="2" t="inlineStr">
        <is>
          <t>Evidence</t>
        </is>
      </c>
      <c r="C2" s="2" t="inlineStr">
        <is>
          <t>Why the team should care</t>
        </is>
      </c>
    </row>
    <row r="3">
      <c r="A3" s="0" t="inlineStr">
        <is>
          <t>Customer liability build-up</t>
        </is>
      </c>
      <c r="B3" s="0" t="inlineStr">
        <is>
          <t>Total customer contract liabilities rose by GBP193m and ended at 19.5% of revenue.</t>
        </is>
      </c>
      <c r="C3" s="0" t="inlineStr">
        <is>
          <t>This is the strongest evidence-led support for the revenue cut-off and completeness risk.</t>
        </is>
      </c>
    </row>
    <row r="4">
      <c r="A4" s="0" t="inlineStr">
        <is>
          <t>Mix shift into Holidays</t>
        </is>
      </c>
      <c r="B4" s="0" t="inlineStr">
        <is>
          <t>easyJet holidays revenue rose 26.7%, well ahead of group revenue growth.</t>
        </is>
      </c>
      <c r="C4" s="0" t="inlineStr">
        <is>
          <t>Different IFRS 15 timing and a newer process set mean the workstream should not be audited only by reference to the airline ledger.</t>
        </is>
      </c>
    </row>
    <row r="5">
      <c r="A5" s="0" t="inlineStr">
        <is>
          <t>Margin quality needs bridging</t>
        </is>
      </c>
      <c r="B5" s="0" t="inlineStr">
        <is>
          <t>Operating margin improved, but EBITDA margin declined slightly and D&amp;A fell from 8.3% to 7.4% of revenue.</t>
        </is>
      </c>
      <c r="C5" s="0" t="inlineStr">
        <is>
          <t>Part of the statutory margin improvement may sit in D&amp;A or asset mix rather than trading alone.</t>
        </is>
      </c>
    </row>
    <row r="6">
      <c r="A6" s="0" t="inlineStr">
        <is>
          <t>Working capital supported by customers, not suppliers</t>
        </is>
      </c>
      <c r="B6" s="0" t="inlineStr">
        <is>
          <t>Receivables days were flat; payables days shortened; operating cash conversion improved.</t>
        </is>
      </c>
      <c r="C6" s="0" t="inlineStr">
        <is>
          <t>The prepayment model remains the core cash driver, with some possibility that creditor timing also affected the year-end position.</t>
        </is>
      </c>
    </row>
    <row r="7">
      <c r="A7" s="0" t="inlineStr">
        <is>
          <t>Lease funding still material</t>
        </is>
      </c>
      <c r="B7" s="0" t="inlineStr">
        <is>
          <t>Lease liabilities remained GBP1.045bn and 16.3% of total capital.</t>
        </is>
      </c>
      <c r="C7" s="0" t="inlineStr">
        <is>
          <t>Leases remain material to going concern, impairment and maintenance provisioning despite the improvement in leverage.</t>
        </is>
      </c>
    </row>
    <row r="8">
      <c r="A8" s="0" t="inlineStr">
        <is>
          <t>Advisory / TS relevance</t>
        </is>
      </c>
      <c r="B8" s="0" t="inlineStr">
        <is>
          <t>Customer liabilities, vouchers/refunds and maintenance provisions remain material within the audit story.</t>
        </is>
      </c>
      <c r="C8" s="0" t="inlineStr">
        <is>
          <t>The same balances would affect revenue-quality, debt-like item and net working capital analysis in diligence.</t>
        </is>
      </c>
    </row>
  </sheetData>
</worksheet>
</file>

<file path=xl/worksheets/sheet8.xml><?xml version="1.0" encoding="utf-8"?>
<worksheet xmlns="http://schemas.openxmlformats.org/spreadsheetml/2006/main">
  <dimension ref="A1:C5"/>
  <sheetViews>
    <sheetView workbookViewId="0"/>
  </sheetViews>
  <sheetFormatPr defaultRowHeight="18"/>
  <cols>
    <col min="1" max="1" width="32" customWidth="1"/>
    <col min="2" max="2" width="36" customWidth="1"/>
    <col min="3" max="3" width="72" customWidth="1"/>
  </cols>
  <sheetData>
    <row r="1">
      <c r="A1" s="1" t="inlineStr">
        <is>
          <t>Source Log</t>
        </is>
      </c>
    </row>
    <row r="2">
      <c r="A2" s="2" t="inlineStr">
        <is>
          <t>Source</t>
        </is>
      </c>
      <c r="B2" s="2" t="inlineStr">
        <is>
          <t>Use</t>
        </is>
      </c>
      <c r="C2" s="2" t="inlineStr">
        <is>
          <t>Reference</t>
        </is>
      </c>
    </row>
    <row r="3">
      <c r="A3" s="0" t="inlineStr">
        <is>
          <t>easyJet Annual Report and Accounts 2025</t>
        </is>
      </c>
      <c r="B3" s="0" t="inlineStr">
        <is>
          <t>Primary source for FY2025 statements, contract liabilities, receivables, payables, leases, provisions and impairment commentary.</t>
        </is>
      </c>
      <c r="C3" s="0" t="inlineStr">
        <is>
          <t>p.144 income statement; p.146 statement of financial position; p.148 cash flow statement; Note 8 pp.163-164; Note 10 p.165; Note 11 pp.166-167; Note 13 p.167; Note 14 p.167; Note 15 p.167; Note 16 pp.167-168; Note 17 p.168; Note 18 pp.168-169; Note 19 pp.169-170; Note 23 p.174.</t>
        </is>
      </c>
    </row>
    <row r="4">
      <c r="A4" s="0" t="inlineStr">
        <is>
          <t>easyJet Annual Report and Accounts 2024</t>
        </is>
      </c>
      <c r="B4" s="0" t="inlineStr">
        <is>
          <t>Source of FY2023 opening balances needed for average-balance working capital ratios and comparative raw data.</t>
        </is>
      </c>
      <c r="C4" s="0" t="inlineStr">
        <is>
          <t>p.154 income statement; p.156 statement of financial position; p.158 cash flow statement; corresponding notes for FY2023 comparatives; Note 24 p.187 for operating cash reconciliation.</t>
        </is>
      </c>
    </row>
    <row r="5">
      <c r="A5" s="0" t="inlineStr">
        <is>
          <t>easyJet FY2025 investor annual report page</t>
        </is>
      </c>
      <c r="B5" s="0" t="inlineStr">
        <is>
          <t>Official filing page confirming the FY2025 report.</t>
        </is>
      </c>
      <c r="C5" s="0" t="inlineStr">
        <is>
          <t>Investor reports and presentations page for the 2025 annual report.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Raw_Financials</vt:lpstr>
      <vt:lpstr>Ratio_Calculations</vt:lpstr>
      <vt:lpstr>Analytical_Review</vt:lpstr>
      <vt:lpstr>Revenue_Workstream</vt:lpstr>
      <vt:lpstr>Risk_Register</vt:lpstr>
      <vt:lpstr>Audit_Flags</vt:lpstr>
      <vt:lpstr>Source_Log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Audit Risk Review - easyJet plc FY2025</dc:title>
  <dc:creator>OpenAI Codex</dc:creator>
  <cp:lastModifiedBy>OpenAI Codex</cp:lastModifiedBy>
  <dcterms:created xsi:type="dcterms:W3CDTF">2026-04-03T23:17:04Z</dcterms:created>
  <dcterms:modified xsi:type="dcterms:W3CDTF">2026-04-03T23:17:04Z</dcterms:modified>
</cp:coreProperties>
</file>