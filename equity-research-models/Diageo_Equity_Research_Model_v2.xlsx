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Income Statement" sheetId="3" state="visible" r:id="rId3"/>
    <sheet xmlns:r="http://schemas.openxmlformats.org/officeDocument/2006/relationships" name="WC Schedule" sheetId="4" state="visible" r:id="rId4"/>
    <sheet xmlns:r="http://schemas.openxmlformats.org/officeDocument/2006/relationships" name="Capex &amp; DA" sheetId="5" state="visible" r:id="rId5"/>
    <sheet xmlns:r="http://schemas.openxmlformats.org/officeDocument/2006/relationships" name="Debt &amp; Interest" sheetId="6" state="visible" r:id="rId6"/>
    <sheet xmlns:r="http://schemas.openxmlformats.org/officeDocument/2006/relationships" name="Div &amp; Buyback" sheetId="7" state="visible" r:id="rId7"/>
    <sheet xmlns:r="http://schemas.openxmlformats.org/officeDocument/2006/relationships" name="Balance Sheet" sheetId="8" state="visible" r:id="rId8"/>
    <sheet xmlns:r="http://schemas.openxmlformats.org/officeDocument/2006/relationships" name="Cash Flow" sheetId="9" state="visible" r:id="rId9"/>
    <sheet xmlns:r="http://schemas.openxmlformats.org/officeDocument/2006/relationships" name="DCF Valuation" sheetId="10" state="visible" r:id="rId10"/>
    <sheet xmlns:r="http://schemas.openxmlformats.org/officeDocument/2006/relationships" name="Trading Comps" sheetId="11" state="visible" r:id="rId11"/>
    <sheet xmlns:r="http://schemas.openxmlformats.org/officeDocument/2006/relationships" name="Char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#,##0;(#,##0);&quot;-&quot;"/>
    <numFmt numFmtId="165" formatCode="0.0%;(0.0%);&quot;-&quot;"/>
    <numFmt numFmtId="166" formatCode="0.0;(0.0);&quot;-&quot;"/>
    <numFmt numFmtId="167" formatCode="0.00%;(0.00%);&quot;-&quot;"/>
    <numFmt numFmtId="168" formatCode="#,##0.0"/>
    <numFmt numFmtId="169" formatCode="0.0x"/>
    <numFmt numFmtId="170" formatCode="0.0%"/>
  </numFmts>
  <fonts count="21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FFFFFF"/>
      <sz val="11"/>
    </font>
    <font>
      <name val="Arial"/>
      <b val="1"/>
      <color rgb="001F4E79"/>
      <sz val="10"/>
    </font>
    <font>
      <name val="Arial"/>
      <sz val="10"/>
    </font>
    <font>
      <name val="Arial"/>
      <color rgb="000000FF"/>
      <sz val="14"/>
    </font>
    <font>
      <name val="Arial"/>
      <color rgb="00000000"/>
      <sz val="14"/>
    </font>
    <font>
      <name val="Arial"/>
      <color rgb="00008000"/>
      <sz val="14"/>
    </font>
    <font>
      <name val="Arial"/>
      <color rgb="00888888"/>
      <sz val="14"/>
    </font>
    <font>
      <name val="Arial"/>
      <b val="1"/>
      <color rgb="002E75B6"/>
      <sz val="10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sz val="10"/>
    </font>
    <font>
      <name val="Arial"/>
      <i val="1"/>
      <color rgb="00888888"/>
      <sz val="8"/>
    </font>
    <font>
      <name val="Arial"/>
      <color rgb="000000FF"/>
      <sz val="10"/>
    </font>
    <font>
      <name val="Arial"/>
      <color rgb="00000000"/>
      <sz val="10"/>
    </font>
    <font>
      <name val="Arial"/>
      <b val="1"/>
      <color rgb="00000000"/>
      <sz val="10"/>
    </font>
    <font>
      <name val="Arial"/>
      <color rgb="00008000"/>
      <sz val="10"/>
    </font>
    <font>
      <name val="Arial"/>
      <b val="1"/>
      <i val="1"/>
      <sz val="10"/>
    </font>
    <font>
      <name val="Arial"/>
      <i val="1"/>
      <color rgb="00888888"/>
      <sz val="9"/>
    </font>
    <font>
      <name val="Arial"/>
      <b val="1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bottom style="thin">
        <color rgb="00000000"/>
      </bottom>
    </border>
    <border>
      <top style="double">
        <color rgb="00000000"/>
      </top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2" borderId="0" applyAlignment="1" pivotButton="0" quotePrefix="0" xfId="0">
      <alignment horizontal="left" vertical="center"/>
    </xf>
    <xf numFmtId="0" fontId="11" fillId="2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center" vertical="center"/>
    </xf>
    <xf numFmtId="0" fontId="3" fillId="4" borderId="0" pivotButton="0" quotePrefix="0" xfId="0"/>
    <xf numFmtId="0" fontId="12" fillId="0" borderId="0" pivotButton="0" quotePrefix="0" xfId="0"/>
    <xf numFmtId="0" fontId="13" fillId="0" borderId="0" applyAlignment="1" pivotButton="0" quotePrefix="0" xfId="0">
      <alignment/>
    </xf>
    <xf numFmtId="164" fontId="14" fillId="0" borderId="0" applyAlignment="1" pivotButton="0" quotePrefix="0" xfId="0">
      <alignment horizontal="right"/>
    </xf>
    <xf numFmtId="164" fontId="15" fillId="0" borderId="0" applyAlignment="1" pivotButton="0" quotePrefix="0" xfId="0">
      <alignment horizontal="right"/>
    </xf>
    <xf numFmtId="0" fontId="4" fillId="0" borderId="0" applyAlignment="1" pivotButton="0" quotePrefix="0" xfId="0">
      <alignment indent="1"/>
    </xf>
    <xf numFmtId="165" fontId="14" fillId="0" borderId="0" applyAlignment="1" pivotButton="0" quotePrefix="0" xfId="0">
      <alignment horizontal="right"/>
    </xf>
    <xf numFmtId="165" fontId="15" fillId="0" borderId="0" applyAlignment="1" pivotButton="0" quotePrefix="0" xfId="0">
      <alignment horizontal="right"/>
    </xf>
    <xf numFmtId="0" fontId="12" fillId="4" borderId="1" pivotButton="0" quotePrefix="0" xfId="0"/>
    <xf numFmtId="0" fontId="0" fillId="4" borderId="1" pivotButton="0" quotePrefix="0" xfId="0"/>
    <xf numFmtId="164" fontId="16" fillId="4" borderId="1" applyAlignment="1" pivotButton="0" quotePrefix="0" xfId="0">
      <alignment horizontal="right"/>
    </xf>
    <xf numFmtId="0" fontId="13" fillId="4" borderId="1" applyAlignment="1" pivotButton="0" quotePrefix="0" xfId="0">
      <alignment/>
    </xf>
    <xf numFmtId="164" fontId="14" fillId="4" borderId="1" applyAlignment="1" pivotButton="0" quotePrefix="0" xfId="0">
      <alignment horizontal="right"/>
    </xf>
    <xf numFmtId="166" fontId="14" fillId="0" borderId="0" applyAlignment="1" pivotButton="0" quotePrefix="0" xfId="0">
      <alignment horizontal="right"/>
    </xf>
    <xf numFmtId="0" fontId="12" fillId="4" borderId="2" pivotButton="0" quotePrefix="0" xfId="0"/>
    <xf numFmtId="0" fontId="0" fillId="4" borderId="2" pivotButton="0" quotePrefix="0" xfId="0"/>
    <xf numFmtId="165" fontId="16" fillId="4" borderId="2" applyAlignment="1" pivotButton="0" quotePrefix="0" xfId="0">
      <alignment horizontal="right"/>
    </xf>
    <xf numFmtId="0" fontId="12" fillId="4" borderId="0" pivotButton="0" quotePrefix="0" xfId="0"/>
    <xf numFmtId="0" fontId="13" fillId="4" borderId="0" applyAlignment="1" pivotButton="0" quotePrefix="0" xfId="0">
      <alignment/>
    </xf>
    <xf numFmtId="0" fontId="0" fillId="4" borderId="0" pivotButton="0" quotePrefix="0" xfId="0"/>
    <xf numFmtId="166" fontId="14" fillId="4" borderId="0" applyAlignment="1" pivotButton="0" quotePrefix="0" xfId="0">
      <alignment horizontal="right"/>
    </xf>
    <xf numFmtId="164" fontId="17" fillId="0" borderId="0" applyAlignment="1" pivotButton="0" quotePrefix="0" xfId="0">
      <alignment horizontal="right"/>
    </xf>
    <xf numFmtId="0" fontId="12" fillId="0" borderId="1" pivotButton="0" quotePrefix="0" xfId="0"/>
    <xf numFmtId="0" fontId="13" fillId="0" borderId="1" applyAlignment="1" pivotButton="0" quotePrefix="0" xfId="0">
      <alignment/>
    </xf>
    <xf numFmtId="164" fontId="14" fillId="0" borderId="1" applyAlignment="1" pivotButton="0" quotePrefix="0" xfId="0">
      <alignment horizontal="right"/>
    </xf>
    <xf numFmtId="164" fontId="17" fillId="0" borderId="1" applyAlignment="1" pivotButton="0" quotePrefix="0" xfId="0">
      <alignment horizontal="right"/>
    </xf>
    <xf numFmtId="164" fontId="16" fillId="0" borderId="0" applyAlignment="1" pivotButton="0" quotePrefix="0" xfId="0">
      <alignment horizontal="right"/>
    </xf>
    <xf numFmtId="164" fontId="16" fillId="4" borderId="2" applyAlignment="1" pivotButton="0" quotePrefix="0" xfId="0">
      <alignment horizontal="right"/>
    </xf>
    <xf numFmtId="166" fontId="16" fillId="4" borderId="0" applyAlignment="1" pivotButton="0" quotePrefix="0" xfId="0">
      <alignment horizontal="right"/>
    </xf>
    <xf numFmtId="166" fontId="17" fillId="0" borderId="0" applyAlignment="1" pivotButton="0" quotePrefix="0" xfId="0">
      <alignment horizontal="right"/>
    </xf>
    <xf numFmtId="166" fontId="15" fillId="0" borderId="0" applyAlignment="1" pivotButton="0" quotePrefix="0" xfId="0">
      <alignment horizontal="right"/>
    </xf>
    <xf numFmtId="164" fontId="16" fillId="4" borderId="0" applyAlignment="1" pivotButton="0" quotePrefix="0" xfId="0">
      <alignment horizontal="right"/>
    </xf>
    <xf numFmtId="0" fontId="12" fillId="0" borderId="2" pivotButton="0" quotePrefix="0" xfId="0"/>
    <xf numFmtId="0" fontId="13" fillId="0" borderId="2" applyAlignment="1" pivotButton="0" quotePrefix="0" xfId="0">
      <alignment/>
    </xf>
    <xf numFmtId="164" fontId="15" fillId="0" borderId="2" applyAlignment="1" pivotButton="0" quotePrefix="0" xfId="0">
      <alignment horizontal="right"/>
    </xf>
    <xf numFmtId="164" fontId="16" fillId="0" borderId="2" applyAlignment="1" pivotButton="0" quotePrefix="0" xfId="0">
      <alignment horizontal="right"/>
    </xf>
    <xf numFmtId="0" fontId="0" fillId="0" borderId="1" pivotButton="0" quotePrefix="0" xfId="0"/>
    <xf numFmtId="164" fontId="16" fillId="0" borderId="1" applyAlignment="1" pivotButton="0" quotePrefix="0" xfId="0">
      <alignment horizontal="right"/>
    </xf>
    <xf numFmtId="0" fontId="0" fillId="0" borderId="2" pivotButton="0" quotePrefix="0" xfId="0"/>
    <xf numFmtId="0" fontId="18" fillId="0" borderId="0" pivotButton="0" quotePrefix="0" xfId="0"/>
    <xf numFmtId="0" fontId="11" fillId="3" borderId="0" applyAlignment="1" pivotButton="0" quotePrefix="0" xfId="0">
      <alignment horizontal="center"/>
    </xf>
    <xf numFmtId="167" fontId="15" fillId="0" borderId="0" applyAlignment="1" pivotButton="0" quotePrefix="0" xfId="0">
      <alignment horizontal="right"/>
    </xf>
    <xf numFmtId="0" fontId="12" fillId="5" borderId="0" pivotButton="0" quotePrefix="0" xfId="0"/>
    <xf numFmtId="0" fontId="0" fillId="5" borderId="0" pivotButton="0" quotePrefix="0" xfId="0"/>
    <xf numFmtId="164" fontId="16" fillId="5" borderId="0" applyAlignment="1" pivotButton="0" quotePrefix="0" xfId="0">
      <alignment horizontal="right"/>
    </xf>
    <xf numFmtId="166" fontId="16" fillId="5" borderId="0" applyAlignment="1" pivotButton="0" quotePrefix="0" xfId="0">
      <alignment horizontal="right"/>
    </xf>
    <xf numFmtId="165" fontId="16" fillId="0" borderId="0" applyAlignment="1" pivotButton="0" quotePrefix="0" xfId="0">
      <alignment horizontal="right"/>
    </xf>
    <xf numFmtId="165" fontId="3" fillId="0" borderId="0" pivotButton="0" quotePrefix="0" xfId="0"/>
    <xf numFmtId="165" fontId="14" fillId="0" borderId="0" pivotButton="0" quotePrefix="0" xfId="0"/>
    <xf numFmtId="0" fontId="19" fillId="0" borderId="0" pivotButton="0" quotePrefix="0" xfId="0"/>
    <xf numFmtId="0" fontId="11" fillId="2" borderId="0" applyAlignment="1" pivotButton="0" quotePrefix="0" xfId="0">
      <alignment horizontal="center"/>
    </xf>
    <xf numFmtId="168" fontId="3" fillId="4" borderId="0" pivotButton="0" quotePrefix="0" xfId="0"/>
    <xf numFmtId="169" fontId="3" fillId="4" borderId="0" pivotButton="0" quotePrefix="0" xfId="0"/>
    <xf numFmtId="170" fontId="3" fillId="4" borderId="0" pivotButton="0" quotePrefix="0" xfId="0"/>
    <xf numFmtId="0" fontId="14" fillId="0" borderId="0" pivotButton="0" quotePrefix="0" xfId="0"/>
    <xf numFmtId="168" fontId="14" fillId="0" borderId="0" pivotButton="0" quotePrefix="0" xfId="0"/>
    <xf numFmtId="169" fontId="14" fillId="0" borderId="0" pivotButton="0" quotePrefix="0" xfId="0"/>
    <xf numFmtId="170" fontId="14" fillId="0" borderId="0" pivotButton="0" quotePrefix="0" xfId="0"/>
    <xf numFmtId="169" fontId="12" fillId="4" borderId="0" pivotButton="0" quotePrefix="0" xfId="0"/>
    <xf numFmtId="170" fontId="12" fillId="4" borderId="0" pivotButton="0" quotePrefix="0" xfId="0"/>
    <xf numFmtId="164" fontId="14" fillId="0" borderId="0" pivotButton="0" quotePrefix="0" xfId="0"/>
    <xf numFmtId="169" fontId="0" fillId="0" borderId="0" pivotButton="0" quotePrefix="0" xfId="0"/>
    <xf numFmtId="0" fontId="2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(£m) &amp; EBITDA Margin (%)</a:t>
            </a:r>
          </a:p>
        </rich>
      </tx>
    </title>
    <plotArea>
      <barChart>
        <barDir val="col"/>
        <grouping val="clustered"/>
        <ser>
          <idx val="0"/>
          <order val="0"/>
          <tx>
            <v>Revenue</v>
          </tx>
          <spPr>
            <a:ln xmlns:a="http://schemas.openxmlformats.org/drawingml/2006/main">
              <a:prstDash val="solid"/>
            </a:ln>
          </spPr>
          <cat>
            <numRef>
              <f>'Charts'!$D$2:$M$2</f>
            </numRef>
          </cat>
          <val>
            <numRef>
              <f>'Charts'!$D$3:$M$3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v>EBITDA Margin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'Charts'!$D$5:$M$5</f>
            </numRef>
          </val>
        </ser>
        <axId val="10"/>
        <axId val="2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Fiscal 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(£m)</a:t>
                </a:r>
              </a:p>
            </rich>
          </tx>
        </title>
        <majorTickMark val="none"/>
        <minorTickMark val="none"/>
        <crossAx val="10"/>
        <crosses val="min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EBITDA Margin</a:t>
                </a:r>
              </a:p>
            </rich>
          </tx>
        </title>
        <numFmt formatCode="0.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Unlevered Free Cash Flow (£m)</a:t>
            </a:r>
          </a:p>
        </rich>
      </tx>
    </title>
    <plotArea>
      <barChart>
        <barDir val="col"/>
        <grouping val="clustered"/>
        <ser>
          <idx val="0"/>
          <order val="0"/>
          <tx>
            <v>UFCF</v>
          </tx>
          <spPr>
            <a:ln xmlns:a="http://schemas.openxmlformats.org/drawingml/2006/main">
              <a:prstDash val="solid"/>
            </a:ln>
          </spPr>
          <cat>
            <numRef>
              <f>'Charts'!$D$2:$M$2</f>
            </numRef>
          </cat>
          <val>
            <numRef>
              <f>'Charts'!$D$6:$M$6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Net Debt / EBITDA Leverage</a:t>
            </a:r>
          </a:p>
        </rich>
      </tx>
    </title>
    <plotArea>
      <barChart>
        <barDir val="col"/>
        <grouping val="clustered"/>
        <ser>
          <idx val="0"/>
          <order val="0"/>
          <tx>
            <v>ND/EBITDA</v>
          </tx>
          <spPr>
            <a:ln xmlns:a="http://schemas.openxmlformats.org/drawingml/2006/main">
              <a:prstDash val="solid"/>
            </a:ln>
          </spPr>
          <cat>
            <numRef>
              <f>'Charts'!$D$2:$M$2</f>
            </numRef>
          </cat>
          <val>
            <numRef>
              <f>'Charts'!$D$8:$M$8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ND/EBITDA (x)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Football Field — Valuation Range (pence)</a:t>
            </a:r>
          </a:p>
        </rich>
      </tx>
    </title>
    <plotArea>
      <barChart>
        <barDir val="bar"/>
        <grouping val="stacked"/>
        <ser>
          <idx val="0"/>
          <order val="0"/>
          <tx>
            <v>Low</v>
          </tx>
          <spPr>
            <a:noFill xmlns:a="http://schemas.openxmlformats.org/drawingml/2006/main"/>
            <a:ln xmlns:a="http://schemas.openxmlformats.org/drawingml/2006/main">
              <a:prstDash val="solid"/>
            </a:ln>
          </spPr>
          <cat>
            <numRef>
              <f>'Charts'!$B$11:$B$15</f>
            </numRef>
          </cat>
          <val>
            <numRef>
              <f>'Charts'!$C$11:$C$15</f>
            </numRef>
          </val>
        </ser>
        <ser>
          <idx val="1"/>
          <order val="1"/>
          <tx>
            <v>Mid</v>
          </tx>
          <spPr>
            <a:ln xmlns:a="http://schemas.openxmlformats.org/drawingml/2006/main">
              <a:prstDash val="solid"/>
            </a:ln>
          </spPr>
          <cat>
            <numRef>
              <f>'Charts'!$B$11:$B$15</f>
            </numRef>
          </cat>
          <val>
            <numRef>
              <f>'Charts'!$D$11:$D$15</f>
            </numRef>
          </val>
        </ser>
        <ser>
          <idx val="2"/>
          <order val="2"/>
          <tx>
            <v>High</v>
          </tx>
          <spPr>
            <a:ln xmlns:a="http://schemas.openxmlformats.org/drawingml/2006/main">
              <a:prstDash val="solid"/>
            </a:ln>
          </spPr>
          <cat>
            <numRef>
              <f>'Charts'!$B$11:$B$15</f>
            </numRef>
          </cat>
          <val>
            <numRef>
              <f>'Charts'!$E$11:$E$15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1</col>
      <colOff>0</colOff>
      <row>7</row>
      <rowOff>0</rowOff>
    </from>
    <ext cx="792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23</row>
      <rowOff>0</rowOff>
    </from>
    <ext cx="7920000" cy="46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39</row>
      <rowOff>0</rowOff>
    </from>
    <ext cx="7920000" cy="46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</col>
      <colOff>0</colOff>
      <row>55</row>
      <rowOff>0</rowOff>
    </from>
    <ext cx="7920000" cy="46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M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3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40" customHeight="1">
      <c r="B1" s="1" t="inlineStr">
        <is>
          <t>DIAGEO PLC — EQUITY RESEARCH MODEL</t>
        </is>
      </c>
    </row>
    <row r="2" ht="40" customHeight="1"/>
    <row r="3" ht="40" customHeight="1"/>
    <row r="4">
      <c r="B4" s="2" t="inlineStr">
        <is>
          <t>Integrated 3-Statement Model | DCF &amp; Trading Comps | FY2020A-FY2029E</t>
        </is>
      </c>
    </row>
    <row r="6">
      <c r="B6" s="3" t="inlineStr">
        <is>
          <t>Company</t>
        </is>
      </c>
      <c r="D6" s="4" t="inlineStr">
        <is>
          <t>Diageo PLC</t>
        </is>
      </c>
    </row>
    <row r="7">
      <c r="B7" s="3" t="inlineStr">
        <is>
          <t>Ticker</t>
        </is>
      </c>
      <c r="D7" s="4" t="inlineStr">
        <is>
          <t>DGE LN / LON:DGE</t>
        </is>
      </c>
    </row>
    <row r="8">
      <c r="B8" s="3" t="inlineStr">
        <is>
          <t>Sector</t>
        </is>
      </c>
      <c r="D8" s="4" t="inlineStr">
        <is>
          <t>Beverages — Spirits &amp; Beer</t>
        </is>
      </c>
    </row>
    <row r="9">
      <c r="B9" s="3" t="inlineStr">
        <is>
          <t>Analyst</t>
        </is>
      </c>
      <c r="D9" s="4" t="inlineStr">
        <is>
          <t>Zak Whatmough</t>
        </is>
      </c>
    </row>
    <row r="10">
      <c r="B10" s="3" t="inlineStr">
        <is>
          <t>Date</t>
        </is>
      </c>
      <c r="D10" s="4" t="inlineStr">
        <is>
          <t>April 2025</t>
        </is>
      </c>
    </row>
    <row r="11">
      <c r="B11" s="3" t="inlineStr">
        <is>
          <t>Share Price</t>
        </is>
      </c>
      <c r="D11" s="4" t="inlineStr">
        <is>
          <t>2,500p (ref price)</t>
        </is>
      </c>
    </row>
    <row r="12">
      <c r="B12" s="3" t="inlineStr">
        <is>
          <t>Currency</t>
        </is>
      </c>
      <c r="D12" s="4" t="inlineStr">
        <is>
          <t>GBP (£m unless stated)</t>
        </is>
      </c>
    </row>
    <row r="13">
      <c r="B13" s="3" t="inlineStr">
        <is>
          <t>FY end</t>
        </is>
      </c>
      <c r="D13" s="4" t="inlineStr">
        <is>
          <t>30 June</t>
        </is>
      </c>
    </row>
    <row r="15">
      <c r="B15" s="3" t="inlineStr">
        <is>
          <t>COLOUR LEGEND</t>
        </is>
      </c>
    </row>
    <row r="16">
      <c r="B16" s="5" t="inlineStr">
        <is>
          <t>■</t>
        </is>
      </c>
      <c r="C16" s="4" t="inlineStr">
        <is>
          <t>Blue = Input</t>
        </is>
      </c>
    </row>
    <row r="17">
      <c r="B17" s="6" t="inlineStr">
        <is>
          <t>■</t>
        </is>
      </c>
      <c r="C17" s="4" t="inlineStr">
        <is>
          <t>Black = Formula</t>
        </is>
      </c>
    </row>
    <row r="18">
      <c r="B18" s="7" t="inlineStr">
        <is>
          <t>■</t>
        </is>
      </c>
      <c r="C18" s="4" t="inlineStr">
        <is>
          <t>Green = Cross-sheet link</t>
        </is>
      </c>
    </row>
    <row r="19">
      <c r="B19" s="8" t="inlineStr">
        <is>
          <t>■</t>
        </is>
      </c>
      <c r="C19" s="4" t="inlineStr">
        <is>
          <t>Grey = Source note</t>
        </is>
      </c>
    </row>
    <row r="21">
      <c r="B21" s="3" t="inlineStr">
        <is>
          <t>SHEET INDEX</t>
        </is>
      </c>
    </row>
    <row r="22">
      <c r="B22" s="9" t="inlineStr">
        <is>
          <t>Assumptions</t>
        </is>
      </c>
      <c r="D22" s="4" t="inlineStr">
        <is>
          <t>Key drivers</t>
        </is>
      </c>
    </row>
    <row r="23">
      <c r="B23" s="9" t="inlineStr">
        <is>
          <t>Income Statement</t>
        </is>
      </c>
      <c r="D23" s="4" t="inlineStr">
        <is>
          <t>Revenue to PAT</t>
        </is>
      </c>
    </row>
    <row r="24">
      <c r="B24" s="9" t="inlineStr">
        <is>
          <t>WC Schedule</t>
        </is>
      </c>
      <c r="D24" s="4" t="inlineStr">
        <is>
          <t>DIO/DSO/DPO</t>
        </is>
      </c>
    </row>
    <row r="25">
      <c r="B25" s="9" t="inlineStr">
        <is>
          <t>Capex &amp; DA</t>
        </is>
      </c>
      <c r="D25" s="4" t="inlineStr">
        <is>
          <t>PPE/ROU rollforward</t>
        </is>
      </c>
    </row>
    <row r="26">
      <c r="B26" s="9" t="inlineStr">
        <is>
          <t>Debt &amp; Interest</t>
        </is>
      </c>
      <c r="D26" s="4" t="inlineStr">
        <is>
          <t>Bond + IFRS 16</t>
        </is>
      </c>
    </row>
    <row r="27">
      <c r="B27" s="9" t="inlineStr">
        <is>
          <t>Div &amp; Buyback</t>
        </is>
      </c>
      <c r="D27" s="4" t="inlineStr">
        <is>
          <t>Share count + DPS</t>
        </is>
      </c>
    </row>
    <row r="28">
      <c r="B28" s="9" t="inlineStr">
        <is>
          <t>Balance Sheet</t>
        </is>
      </c>
      <c r="D28" s="4" t="inlineStr">
        <is>
          <t>Integrated, audit check</t>
        </is>
      </c>
    </row>
    <row r="29">
      <c r="B29" s="9" t="inlineStr">
        <is>
          <t>Cash Flow</t>
        </is>
      </c>
      <c r="D29" s="4" t="inlineStr">
        <is>
          <t>CFO/CFI/CFF + UFCF</t>
        </is>
      </c>
    </row>
    <row r="30">
      <c r="B30" s="9" t="inlineStr">
        <is>
          <t>DCF Valuation</t>
        </is>
      </c>
      <c r="D30" s="4" t="inlineStr">
        <is>
          <t>Mid-year, Gordon Growth</t>
        </is>
      </c>
    </row>
    <row r="31">
      <c r="B31" s="9" t="inlineStr">
        <is>
          <t>Trading Comps</t>
        </is>
      </c>
      <c r="D31" s="4" t="inlineStr">
        <is>
          <t>EV/EBITDA + P/E</t>
        </is>
      </c>
    </row>
    <row r="32">
      <c r="B32" s="9" t="inlineStr">
        <is>
          <t>Charts</t>
        </is>
      </c>
      <c r="D32" s="4" t="inlineStr">
        <is>
          <t>Revenue, FCF, leverage, football field</t>
        </is>
      </c>
    </row>
  </sheetData>
  <mergeCells count="2">
    <mergeCell ref="B4:M4"/>
    <mergeCell ref="B1:M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M58"/>
  <sheetViews>
    <sheetView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22" customHeight="1">
      <c r="B1" s="10" t="inlineStr">
        <is>
          <t>DIAGEO PLC — KEY ASSUMPTIONS   (£m; blue=input, black=formula)</t>
        </is>
      </c>
    </row>
    <row r="2" ht="16" customHeight="1">
      <c r="D2" s="11" t="inlineStr">
        <is>
          <t>FY2020A</t>
        </is>
      </c>
      <c r="E2" s="11" t="inlineStr">
        <is>
          <t>FY2021A</t>
        </is>
      </c>
      <c r="F2" s="11" t="inlineStr">
        <is>
          <t>FY2022A</t>
        </is>
      </c>
      <c r="G2" s="11" t="inlineStr">
        <is>
          <t>FY2023A</t>
        </is>
      </c>
      <c r="H2" s="11" t="inlineStr">
        <is>
          <t>FY2024A</t>
        </is>
      </c>
      <c r="I2" s="12" t="inlineStr">
        <is>
          <t>FY2025E</t>
        </is>
      </c>
      <c r="J2" s="12" t="inlineStr">
        <is>
          <t>FY2026E</t>
        </is>
      </c>
      <c r="K2" s="12" t="inlineStr">
        <is>
          <t>FY2027E</t>
        </is>
      </c>
      <c r="L2" s="12" t="inlineStr">
        <is>
          <t>FY2028E</t>
        </is>
      </c>
      <c r="M2" s="12" t="inlineStr">
        <is>
          <t>FY2029E</t>
        </is>
      </c>
    </row>
    <row r="4" ht="15" customHeight="1">
      <c r="B4" s="13" t="inlineStr">
        <is>
          <t>Revenue Assumptions</t>
        </is>
      </c>
    </row>
    <row r="5" ht="15" customHeight="1">
      <c r="B5" s="14" t="inlineStr">
        <is>
          <t>North America Revenue (£m)</t>
        </is>
      </c>
      <c r="C5" s="15" t="inlineStr">
        <is>
          <t>Diageo AR FY24 p.42</t>
        </is>
      </c>
      <c r="D5" s="16" t="n">
        <v>4500</v>
      </c>
      <c r="E5" s="16" t="n">
        <v>5246</v>
      </c>
      <c r="F5" s="16" t="n">
        <v>6644</v>
      </c>
      <c r="G5" s="16" t="n">
        <v>7190</v>
      </c>
      <c r="H5" s="16" t="n">
        <v>6480</v>
      </c>
      <c r="I5" s="17">
        <f>H5*(1+I6)</f>
        <v/>
      </c>
      <c r="J5" s="17">
        <f>I5*(1+J6)</f>
        <v/>
      </c>
      <c r="K5" s="17">
        <f>J5*(1+K6)</f>
        <v/>
      </c>
      <c r="L5" s="17">
        <f>K5*(1+L6)</f>
        <v/>
      </c>
      <c r="M5" s="17">
        <f>L5*(1+M6)</f>
        <v/>
      </c>
    </row>
    <row r="6" ht="15" customHeight="1">
      <c r="B6" s="18" t="inlineStr">
        <is>
          <t xml:space="preserve">  NA YoY Growth %</t>
        </is>
      </c>
      <c r="C6" s="15" t="inlineStr">
        <is>
          <t>Calc / FactSet consensus</t>
        </is>
      </c>
      <c r="D6" s="19" t="n">
        <v>0</v>
      </c>
      <c r="E6" s="20">
        <f>(E5-D5)/D5</f>
        <v/>
      </c>
      <c r="F6" s="20">
        <f>(F5-E5)/E5</f>
        <v/>
      </c>
      <c r="G6" s="20">
        <f>(G5-F5)/F5</f>
        <v/>
      </c>
      <c r="H6" s="20">
        <f>(H5-G5)/G5</f>
        <v/>
      </c>
      <c r="I6" s="20">
        <f>CHOOSE(I43,I45,I46,I47)</f>
        <v/>
      </c>
      <c r="J6" s="20">
        <f>CHOOSE(I43,J45,J46,J47)</f>
        <v/>
      </c>
      <c r="K6" s="20">
        <f>CHOOSE(I43,K45,K46,K47)</f>
        <v/>
      </c>
      <c r="L6" s="20">
        <f>CHOOSE(I43,L45,L46,L47)</f>
        <v/>
      </c>
      <c r="M6" s="20">
        <f>CHOOSE(I43,M45,M46,M47)</f>
        <v/>
      </c>
    </row>
    <row r="7" ht="15" customHeight="1">
      <c r="B7" s="14" t="inlineStr">
        <is>
          <t>International Revenue (£m)</t>
        </is>
      </c>
      <c r="C7" s="15" t="inlineStr">
        <is>
          <t>Diageo AR FY24 p.44</t>
        </is>
      </c>
      <c r="D7" s="16" t="n">
        <v>7252</v>
      </c>
      <c r="E7" s="16" t="n">
        <v>7487</v>
      </c>
      <c r="F7" s="16" t="n">
        <v>8808</v>
      </c>
      <c r="G7" s="16" t="n">
        <v>9923</v>
      </c>
      <c r="H7" s="16" t="n">
        <v>9326</v>
      </c>
      <c r="I7" s="17">
        <f>H7*(1+I8)</f>
        <v/>
      </c>
      <c r="J7" s="17">
        <f>I7*(1+J8)</f>
        <v/>
      </c>
      <c r="K7" s="17">
        <f>J7*(1+K8)</f>
        <v/>
      </c>
      <c r="L7" s="17">
        <f>K7*(1+L8)</f>
        <v/>
      </c>
      <c r="M7" s="17">
        <f>L7*(1+M8)</f>
        <v/>
      </c>
    </row>
    <row r="8" ht="15" customHeight="1">
      <c r="B8" s="18" t="inlineStr">
        <is>
          <t xml:space="preserve">  Intl YoY Growth %</t>
        </is>
      </c>
      <c r="C8" s="15" t="inlineStr">
        <is>
          <t>Calc; Eur+Afr+LatAm+APAC</t>
        </is>
      </c>
      <c r="D8" s="19" t="n">
        <v>0</v>
      </c>
      <c r="E8" s="20">
        <f>(E7-D7)/D7</f>
        <v/>
      </c>
      <c r="F8" s="20">
        <f>(F7-E7)/E7</f>
        <v/>
      </c>
      <c r="G8" s="20">
        <f>(G7-F7)/F7</f>
        <v/>
      </c>
      <c r="H8" s="20">
        <f>(H7-G7)/G7</f>
        <v/>
      </c>
      <c r="I8" s="20">
        <f>CHOOSE(I43,I48,I49,I50)</f>
        <v/>
      </c>
      <c r="J8" s="20">
        <f>CHOOSE(I43,J48,J49,J50)</f>
        <v/>
      </c>
      <c r="K8" s="20">
        <f>CHOOSE(I43,K48,K49,K50)</f>
        <v/>
      </c>
      <c r="L8" s="20">
        <f>CHOOSE(I43,L48,L49,L50)</f>
        <v/>
      </c>
      <c r="M8" s="20">
        <f>CHOOSE(I43,M48,M49,M50)</f>
        <v/>
      </c>
    </row>
    <row r="9" ht="15" customHeight="1">
      <c r="B9" s="21" t="inlineStr">
        <is>
          <t>Total Revenue (£m)</t>
        </is>
      </c>
      <c r="C9" s="22" t="n"/>
      <c r="D9" s="23">
        <f>D5+D7</f>
        <v/>
      </c>
      <c r="E9" s="23">
        <f>E5+E7</f>
        <v/>
      </c>
      <c r="F9" s="23">
        <f>F5+F7</f>
        <v/>
      </c>
      <c r="G9" s="23">
        <f>G5+G7</f>
        <v/>
      </c>
      <c r="H9" s="23">
        <f>H5+H7</f>
        <v/>
      </c>
      <c r="I9" s="23">
        <f>I5+I7</f>
        <v/>
      </c>
      <c r="J9" s="23">
        <f>J5+J7</f>
        <v/>
      </c>
      <c r="K9" s="23">
        <f>K5+K7</f>
        <v/>
      </c>
      <c r="L9" s="23">
        <f>L5+L7</f>
        <v/>
      </c>
      <c r="M9" s="23">
        <f>M5+M7</f>
        <v/>
      </c>
    </row>
    <row r="11" ht="15" customHeight="1">
      <c r="B11" s="13" t="inlineStr">
        <is>
          <t>Profitability</t>
        </is>
      </c>
    </row>
    <row r="12" ht="15" customHeight="1">
      <c r="B12" s="21" t="inlineStr">
        <is>
          <t>Adjusted EBITDA (£m)</t>
        </is>
      </c>
      <c r="C12" s="24" t="inlineStr">
        <is>
          <t>Diageo AR FY24 p.30</t>
        </is>
      </c>
      <c r="D12" s="25" t="n">
        <v>4050</v>
      </c>
      <c r="E12" s="25" t="n">
        <v>4410</v>
      </c>
      <c r="F12" s="25" t="n">
        <v>5320</v>
      </c>
      <c r="G12" s="25" t="n">
        <v>5900</v>
      </c>
      <c r="H12" s="25" t="n">
        <v>5380</v>
      </c>
      <c r="I12" s="23">
        <f>I13*I9</f>
        <v/>
      </c>
      <c r="J12" s="23">
        <f>J13*J9</f>
        <v/>
      </c>
      <c r="K12" s="23">
        <f>K13*K9</f>
        <v/>
      </c>
      <c r="L12" s="23">
        <f>L13*L9</f>
        <v/>
      </c>
      <c r="M12" s="23">
        <f>M13*M9</f>
        <v/>
      </c>
    </row>
    <row r="13" ht="15" customHeight="1">
      <c r="B13" s="18" t="inlineStr">
        <is>
          <t xml:space="preserve">  EBITDA Margin %</t>
        </is>
      </c>
      <c r="C13" s="15" t="inlineStr">
        <is>
          <t>Calc; premium mix drives margin</t>
        </is>
      </c>
      <c r="D13" s="20">
        <f>D12/D9</f>
        <v/>
      </c>
      <c r="E13" s="20">
        <f>E12/E9</f>
        <v/>
      </c>
      <c r="F13" s="20">
        <f>F12/F9</f>
        <v/>
      </c>
      <c r="G13" s="20">
        <f>G12/G9</f>
        <v/>
      </c>
      <c r="H13" s="20">
        <f>H12/H9</f>
        <v/>
      </c>
      <c r="I13" s="20">
        <f>CHOOSE(I43,I52,I53,I54)</f>
        <v/>
      </c>
      <c r="J13" s="20">
        <f>CHOOSE(I43,J52,J53,J54)</f>
        <v/>
      </c>
      <c r="K13" s="20">
        <f>CHOOSE(I43,K52,K53,K54)</f>
        <v/>
      </c>
      <c r="L13" s="20">
        <f>CHOOSE(I43,L52,L53,L54)</f>
        <v/>
      </c>
      <c r="M13" s="20">
        <f>CHOOSE(I43,M52,M53,M54)</f>
        <v/>
      </c>
    </row>
    <row r="15" ht="15" customHeight="1">
      <c r="B15" s="13" t="inlineStr">
        <is>
          <t>Capex &amp; D&amp;A  (detail on Capex &amp; DA tab)</t>
        </is>
      </c>
    </row>
    <row r="16" ht="15" customHeight="1">
      <c r="B16" s="14" t="inlineStr">
        <is>
          <t>Total Capex (£m)</t>
        </is>
      </c>
      <c r="C16" s="15" t="inlineStr">
        <is>
          <t>Distillery expansion programme</t>
        </is>
      </c>
      <c r="D16" s="16" t="n">
        <v>550</v>
      </c>
      <c r="E16" s="16" t="n">
        <v>480</v>
      </c>
      <c r="F16" s="16" t="n">
        <v>620</v>
      </c>
      <c r="G16" s="16" t="n">
        <v>760</v>
      </c>
      <c r="H16" s="16" t="n">
        <v>810</v>
      </c>
      <c r="I16" s="16" t="n">
        <v>850</v>
      </c>
      <c r="J16" s="16" t="n">
        <v>880</v>
      </c>
      <c r="K16" s="16" t="n">
        <v>900</v>
      </c>
      <c r="L16" s="16" t="n">
        <v>920</v>
      </c>
      <c r="M16" s="16" t="n">
        <v>940</v>
      </c>
    </row>
    <row r="17" ht="15" customHeight="1">
      <c r="B17" s="14" t="inlineStr">
        <is>
          <t>Total D&amp;A (£m)</t>
        </is>
      </c>
      <c r="C17" s="15" t="inlineStr">
        <is>
          <t>Diageo AR Note 5 p.118</t>
        </is>
      </c>
      <c r="D17" s="16" t="n">
        <v>680</v>
      </c>
      <c r="E17" s="16" t="n">
        <v>700</v>
      </c>
      <c r="F17" s="16" t="n">
        <v>750</v>
      </c>
      <c r="G17" s="16" t="n">
        <v>810</v>
      </c>
      <c r="H17" s="16" t="n">
        <v>830</v>
      </c>
      <c r="I17" s="16" t="n">
        <v>860</v>
      </c>
      <c r="J17" s="16" t="n">
        <v>880</v>
      </c>
      <c r="K17" s="16" t="n">
        <v>900</v>
      </c>
      <c r="L17" s="16" t="n">
        <v>910</v>
      </c>
      <c r="M17" s="16" t="n">
        <v>920</v>
      </c>
    </row>
    <row r="19" ht="15" customHeight="1">
      <c r="B19" s="13" t="inlineStr">
        <is>
          <t>Finance Costs &amp; Tax</t>
        </is>
      </c>
    </row>
    <row r="20" ht="15" customHeight="1">
      <c r="B20" s="14" t="inlineStr">
        <is>
          <t>Net Finance Costs (£m)</t>
        </is>
      </c>
      <c r="C20" s="15" t="inlineStr">
        <is>
          <t>Declines as bonds mature</t>
        </is>
      </c>
      <c r="D20" s="16" t="n">
        <v>530</v>
      </c>
      <c r="E20" s="16" t="n">
        <v>470</v>
      </c>
      <c r="F20" s="16" t="n">
        <v>500</v>
      </c>
      <c r="G20" s="16" t="n">
        <v>680</v>
      </c>
      <c r="H20" s="16" t="n">
        <v>750</v>
      </c>
      <c r="I20" s="16" t="n">
        <v>720</v>
      </c>
      <c r="J20" s="16" t="n">
        <v>700</v>
      </c>
      <c r="K20" s="16" t="n">
        <v>680</v>
      </c>
      <c r="L20" s="16" t="n">
        <v>660</v>
      </c>
      <c r="M20" s="16" t="n">
        <v>640</v>
      </c>
    </row>
    <row r="21" ht="15" customHeight="1">
      <c r="B21" s="14" t="inlineStr">
        <is>
          <t>Effective Tax Rate</t>
        </is>
      </c>
      <c r="C21" s="15" t="inlineStr">
        <is>
          <t>Blended global rate ~22%</t>
        </is>
      </c>
      <c r="D21" s="19" t="n">
        <v>0.208</v>
      </c>
      <c r="E21" s="19" t="n">
        <v>0.195</v>
      </c>
      <c r="F21" s="19" t="n">
        <v>0.202</v>
      </c>
      <c r="G21" s="19" t="n">
        <v>0.21</v>
      </c>
      <c r="H21" s="19" t="n">
        <v>0.225</v>
      </c>
      <c r="I21" s="19" t="n">
        <v>0.22</v>
      </c>
      <c r="J21" s="19" t="n">
        <v>0.22</v>
      </c>
      <c r="K21" s="19" t="n">
        <v>0.22</v>
      </c>
      <c r="L21" s="19" t="n">
        <v>0.22</v>
      </c>
      <c r="M21" s="19" t="n">
        <v>0.22</v>
      </c>
    </row>
    <row r="23" ht="15" customHeight="1">
      <c r="B23" s="13" t="inlineStr">
        <is>
          <t>WACC Build  (single column — DCF discount rate)</t>
        </is>
      </c>
    </row>
    <row r="24" ht="15" customHeight="1">
      <c r="B24" s="4" t="inlineStr">
        <is>
          <t>Risk-Free Rate (10yr Gilt)</t>
        </is>
      </c>
      <c r="C24" s="15" t="inlineStr">
        <is>
          <t>Bloomberg Apr-25 UK10Y 4.20%</t>
        </is>
      </c>
      <c r="I24" s="19" t="n">
        <v>0.042</v>
      </c>
    </row>
    <row r="25" ht="15" customHeight="1">
      <c r="B25" s="4" t="inlineStr">
        <is>
          <t>Equity Risk Premium</t>
        </is>
      </c>
      <c r="C25" s="15" t="inlineStr">
        <is>
          <t>Damodaran Jan-25 UK ERP 5.5%</t>
        </is>
      </c>
      <c r="I25" s="19" t="n">
        <v>0.055</v>
      </c>
    </row>
    <row r="26" ht="15" customHeight="1">
      <c r="B26" s="4" t="inlineStr">
        <is>
          <t>Levered Beta (2yr weekly)</t>
        </is>
      </c>
      <c r="C26" s="15" t="inlineStr">
        <is>
          <t>Bloomberg DGE LN beta=0.75</t>
        </is>
      </c>
      <c r="I26" s="26" t="n">
        <v>0.75</v>
      </c>
    </row>
    <row r="27" ht="15" customHeight="1">
      <c r="B27" s="18" t="inlineStr">
        <is>
          <t xml:space="preserve">  Cost of Equity (CAPM)</t>
        </is>
      </c>
      <c r="I27" s="20">
        <f>I24+I26*I25</f>
        <v/>
      </c>
    </row>
    <row r="28" ht="15" customHeight="1">
      <c r="B28" s="4" t="inlineStr">
        <is>
          <t>Pre-tax Cost of Debt</t>
        </is>
      </c>
      <c r="C28" s="15" t="inlineStr">
        <is>
          <t>DGE 2032 bond YTM ~4.0%</t>
        </is>
      </c>
      <c r="I28" s="19" t="n">
        <v>0.04</v>
      </c>
    </row>
    <row r="29" ht="15" customHeight="1">
      <c r="B29" s="18" t="inlineStr">
        <is>
          <t xml:space="preserve">  Corp Tax (WACC shield)</t>
        </is>
      </c>
      <c r="I29" s="20">
        <f>I21</f>
        <v/>
      </c>
    </row>
    <row r="30" ht="15" customHeight="1">
      <c r="B30" s="18" t="inlineStr">
        <is>
          <t xml:space="preserve">  Post-tax Cost of Debt</t>
        </is>
      </c>
      <c r="I30" s="20">
        <f>I28*(1-I29)</f>
        <v/>
      </c>
    </row>
    <row r="31" ht="15" customHeight="1">
      <c r="B31" s="4" t="inlineStr">
        <is>
          <t>Debt Weight D/(D+E)</t>
        </is>
      </c>
      <c r="C31" s="15" t="inlineStr">
        <is>
          <t>FTSE spirits peer median</t>
        </is>
      </c>
      <c r="I31" s="19" t="n">
        <v>0.4</v>
      </c>
    </row>
    <row r="32" ht="15" customHeight="1">
      <c r="B32" s="18" t="inlineStr">
        <is>
          <t xml:space="preserve">  Equity Weight</t>
        </is>
      </c>
      <c r="I32" s="20">
        <f>1-I31</f>
        <v/>
      </c>
    </row>
    <row r="33" ht="15" customHeight="1">
      <c r="B33" s="27" t="inlineStr">
        <is>
          <t>WACC</t>
        </is>
      </c>
      <c r="C33" s="28" t="n"/>
      <c r="D33" s="28" t="n"/>
      <c r="E33" s="28" t="n"/>
      <c r="F33" s="28" t="n"/>
      <c r="G33" s="28" t="n"/>
      <c r="H33" s="28" t="n"/>
      <c r="I33" s="29">
        <f>I27*I32+I30*I31</f>
        <v/>
      </c>
      <c r="J33" s="28" t="n"/>
      <c r="K33" s="28" t="n"/>
      <c r="L33" s="28" t="n"/>
      <c r="M33" s="28" t="n"/>
    </row>
    <row r="35" ht="15" customHeight="1">
      <c r="B35" s="13" t="inlineStr">
        <is>
          <t>Terminal Value</t>
        </is>
      </c>
    </row>
    <row r="36" ht="15" customHeight="1">
      <c r="B36" s="4" t="inlineStr">
        <is>
          <t>Terminal Growth Rate (g)</t>
        </is>
      </c>
      <c r="C36" s="15" t="inlineStr">
        <is>
          <t>Premium brands; above-inflation pricing</t>
        </is>
      </c>
      <c r="I36" s="20">
        <f>CHOOSE(I43,I56,I57,I58)</f>
        <v/>
      </c>
    </row>
    <row r="38" ht="15" customHeight="1">
      <c r="B38" s="13" t="inlineStr">
        <is>
          <t>Dividend &amp; Buyback Assumptions</t>
        </is>
      </c>
    </row>
    <row r="39" ht="15" customHeight="1">
      <c r="B39" s="4" t="inlineStr">
        <is>
          <t>DPS Growth %</t>
        </is>
      </c>
      <c r="C39" s="15" t="inlineStr">
        <is>
          <t>Progressive policy; FactSet consensus</t>
        </is>
      </c>
      <c r="D39" s="19" t="n">
        <v>0</v>
      </c>
      <c r="E39" s="19" t="n">
        <v>0.0382</v>
      </c>
      <c r="F39" s="19" t="n">
        <v>0.05</v>
      </c>
      <c r="G39" s="19" t="n">
        <v>0.0501</v>
      </c>
      <c r="H39" s="19" t="n">
        <v>0.0405</v>
      </c>
      <c r="I39" s="19" t="n">
        <v>0.05</v>
      </c>
      <c r="J39" s="19" t="n">
        <v>0.05</v>
      </c>
      <c r="K39" s="19" t="n">
        <v>0.045</v>
      </c>
      <c r="L39" s="19" t="n">
        <v>0.045</v>
      </c>
      <c r="M39" s="19" t="n">
        <v>0.04</v>
      </c>
    </row>
    <row r="40" ht="15" customHeight="1">
      <c r="B40" s="4" t="inlineStr">
        <is>
          <t>Share Buyback (£m)</t>
        </is>
      </c>
      <c r="C40" s="15" t="inlineStr">
        <is>
          <t>FY25 guidance ~£1.2bn</t>
        </is>
      </c>
      <c r="D40" s="16" t="n">
        <v>500</v>
      </c>
      <c r="E40" s="16" t="n">
        <v>600</v>
      </c>
      <c r="F40" s="16" t="n">
        <v>1000</v>
      </c>
      <c r="G40" s="16" t="n">
        <v>1250</v>
      </c>
      <c r="H40" s="16" t="n">
        <v>1000</v>
      </c>
      <c r="I40" s="16" t="n">
        <v>1200</v>
      </c>
      <c r="J40" s="16" t="n">
        <v>1200</v>
      </c>
      <c r="K40" s="16" t="n">
        <v>1000</v>
      </c>
      <c r="L40" s="16" t="n">
        <v>1000</v>
      </c>
      <c r="M40" s="16" t="n">
        <v>1000</v>
      </c>
    </row>
    <row r="42" ht="15" customHeight="1">
      <c r="B42" s="13" t="inlineStr">
        <is>
          <t>Scenario Analysis  (1=Base, 2=Bull, 3=Bear)</t>
        </is>
      </c>
    </row>
    <row r="43" ht="15" customHeight="1">
      <c r="B43" s="30" t="inlineStr">
        <is>
          <t>Active Scenario</t>
        </is>
      </c>
      <c r="C43" s="31" t="inlineStr">
        <is>
          <t>Change to 1, 2, or 3</t>
        </is>
      </c>
      <c r="D43" s="32" t="n"/>
      <c r="E43" s="32" t="n"/>
      <c r="F43" s="32" t="n"/>
      <c r="G43" s="32" t="n"/>
      <c r="H43" s="32" t="n"/>
      <c r="I43" s="33" t="n">
        <v>1</v>
      </c>
      <c r="J43" s="32" t="n"/>
      <c r="K43" s="32" t="n"/>
      <c r="L43" s="32" t="n"/>
      <c r="M43" s="32" t="n"/>
    </row>
    <row r="45" ht="15" customHeight="1">
      <c r="B45" s="18" t="inlineStr">
        <is>
          <t xml:space="preserve">  NA Growth — Base</t>
        </is>
      </c>
      <c r="C45" s="15" t="inlineStr">
        <is>
          <t>Recovery post-destocking</t>
        </is>
      </c>
      <c r="I45" s="19" t="n">
        <v>0.03</v>
      </c>
      <c r="J45" s="19" t="n">
        <v>0.035</v>
      </c>
      <c r="K45" s="19" t="n">
        <v>0.035</v>
      </c>
      <c r="L45" s="19" t="n">
        <v>0.03</v>
      </c>
      <c r="M45" s="19" t="n">
        <v>0.03</v>
      </c>
    </row>
    <row r="46" ht="15" customHeight="1">
      <c r="B46" s="18" t="inlineStr">
        <is>
          <t xml:space="preserve">  NA Growth — Bull</t>
        </is>
      </c>
      <c r="C46" s="15" t="inlineStr">
        <is>
          <t>Strong premiumisation + share gains</t>
        </is>
      </c>
      <c r="I46" s="19" t="n">
        <v>0.05</v>
      </c>
      <c r="J46" s="19" t="n">
        <v>0.055</v>
      </c>
      <c r="K46" s="19" t="n">
        <v>0.05</v>
      </c>
      <c r="L46" s="19" t="n">
        <v>0.045</v>
      </c>
      <c r="M46" s="19" t="n">
        <v>0.04</v>
      </c>
    </row>
    <row r="47" ht="15" customHeight="1">
      <c r="B47" s="18" t="inlineStr">
        <is>
          <t xml:space="preserve">  NA Growth — Bear</t>
        </is>
      </c>
      <c r="C47" s="15" t="inlineStr">
        <is>
          <t>Continued destocking + recession</t>
        </is>
      </c>
      <c r="I47" s="19" t="n">
        <v>0.005</v>
      </c>
      <c r="J47" s="19" t="n">
        <v>0.01</v>
      </c>
      <c r="K47" s="19" t="n">
        <v>0.015</v>
      </c>
      <c r="L47" s="19" t="n">
        <v>0.015</v>
      </c>
      <c r="M47" s="19" t="n">
        <v>0.01</v>
      </c>
    </row>
    <row r="48" ht="15" customHeight="1">
      <c r="B48" s="18" t="inlineStr">
        <is>
          <t xml:space="preserve">  Intl Growth — Base</t>
        </is>
      </c>
      <c r="C48" s="15" t="inlineStr">
        <is>
          <t>Eur+Afr+LatAm+APAC</t>
        </is>
      </c>
      <c r="I48" s="19" t="n">
        <v>0.04</v>
      </c>
      <c r="J48" s="19" t="n">
        <v>0.045</v>
      </c>
      <c r="K48" s="19" t="n">
        <v>0.04</v>
      </c>
      <c r="L48" s="19" t="n">
        <v>0.035</v>
      </c>
      <c r="M48" s="19" t="n">
        <v>0.035</v>
      </c>
    </row>
    <row r="49" ht="15" customHeight="1">
      <c r="B49" s="18" t="inlineStr">
        <is>
          <t xml:space="preserve">  Intl Growth — Bull</t>
        </is>
      </c>
      <c r="C49" s="15" t="inlineStr">
        <is>
          <t>EM volume acceleration</t>
        </is>
      </c>
      <c r="I49" s="19" t="n">
        <v>0.06</v>
      </c>
      <c r="J49" s="19" t="n">
        <v>0.065</v>
      </c>
      <c r="K49" s="19" t="n">
        <v>0.06</v>
      </c>
      <c r="L49" s="19" t="n">
        <v>0.055</v>
      </c>
      <c r="M49" s="19" t="n">
        <v>0.05</v>
      </c>
    </row>
    <row r="50" ht="15" customHeight="1">
      <c r="B50" s="18" t="inlineStr">
        <is>
          <t xml:space="preserve">  Intl Growth — Bear</t>
        </is>
      </c>
      <c r="C50" s="15" t="inlineStr">
        <is>
          <t>FX drag + volume weakness</t>
        </is>
      </c>
      <c r="I50" s="19" t="n">
        <v>0.015</v>
      </c>
      <c r="J50" s="19" t="n">
        <v>0.02</v>
      </c>
      <c r="K50" s="19" t="n">
        <v>0.02</v>
      </c>
      <c r="L50" s="19" t="n">
        <v>0.015</v>
      </c>
      <c r="M50" s="19" t="n">
        <v>0.015</v>
      </c>
    </row>
    <row r="52" ht="15" customHeight="1">
      <c r="B52" s="18" t="inlineStr">
        <is>
          <t xml:space="preserve">  EBITDA Margin — Base</t>
        </is>
      </c>
      <c r="C52" s="15" t="inlineStr">
        <is>
          <t>Premiumisation 34.5→35.8%</t>
        </is>
      </c>
      <c r="I52" s="19" t="n">
        <v>0.345</v>
      </c>
      <c r="J52" s="19" t="n">
        <v>0.35</v>
      </c>
      <c r="K52" s="19" t="n">
        <v>0.352</v>
      </c>
      <c r="L52" s="19" t="n">
        <v>0.355</v>
      </c>
      <c r="M52" s="19" t="n">
        <v>0.358</v>
      </c>
    </row>
    <row r="53" ht="15" customHeight="1">
      <c r="B53" s="18" t="inlineStr">
        <is>
          <t xml:space="preserve">  EBITDA Margin — Bull</t>
        </is>
      </c>
      <c r="C53" s="15" t="inlineStr">
        <is>
          <t>Mix uplift + cost saves</t>
        </is>
      </c>
      <c r="I53" s="19" t="n">
        <v>0.355</v>
      </c>
      <c r="J53" s="19" t="n">
        <v>0.36</v>
      </c>
      <c r="K53" s="19" t="n">
        <v>0.365</v>
      </c>
      <c r="L53" s="19" t="n">
        <v>0.37</v>
      </c>
      <c r="M53" s="19" t="n">
        <v>0.375</v>
      </c>
    </row>
    <row r="54" ht="15" customHeight="1">
      <c r="B54" s="18" t="inlineStr">
        <is>
          <t xml:space="preserve">  EBITDA Margin — Bear</t>
        </is>
      </c>
      <c r="C54" s="15" t="inlineStr">
        <is>
          <t>Input cost inflation + discounting</t>
        </is>
      </c>
      <c r="I54" s="19" t="n">
        <v>0.33</v>
      </c>
      <c r="J54" s="19" t="n">
        <v>0.33</v>
      </c>
      <c r="K54" s="19" t="n">
        <v>0.335</v>
      </c>
      <c r="L54" s="19" t="n">
        <v>0.335</v>
      </c>
      <c r="M54" s="19" t="n">
        <v>0.34</v>
      </c>
    </row>
    <row r="56" ht="15" customHeight="1">
      <c r="B56" s="18" t="inlineStr">
        <is>
          <t xml:space="preserve">  TGR — Base</t>
        </is>
      </c>
      <c r="I56" s="19" t="n">
        <v>0.025</v>
      </c>
    </row>
    <row r="57" ht="15" customHeight="1">
      <c r="B57" s="18" t="inlineStr">
        <is>
          <t xml:space="preserve">  TGR — Bull</t>
        </is>
      </c>
      <c r="I57" s="19" t="n">
        <v>0.03</v>
      </c>
    </row>
    <row r="58" ht="15" customHeight="1">
      <c r="B58" s="18" t="inlineStr">
        <is>
          <t xml:space="preserve">  TGR — Bear</t>
        </is>
      </c>
      <c r="I58" s="19" t="n">
        <v>0.02</v>
      </c>
    </row>
  </sheetData>
  <mergeCells count="9">
    <mergeCell ref="B38:M38"/>
    <mergeCell ref="B15:M15"/>
    <mergeCell ref="B11:M11"/>
    <mergeCell ref="B42:M42"/>
    <mergeCell ref="B19:M19"/>
    <mergeCell ref="B23:M23"/>
    <mergeCell ref="B1:M1"/>
    <mergeCell ref="B35:M35"/>
    <mergeCell ref="B4:M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M28"/>
  <sheetViews>
    <sheetView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22" customHeight="1">
      <c r="B1" s="10" t="inlineStr">
        <is>
          <t>DIAGEO PLC — INCOME STATEMENT   (£m unless stated)</t>
        </is>
      </c>
    </row>
    <row r="2" ht="16" customHeight="1">
      <c r="D2" s="11" t="inlineStr">
        <is>
          <t>FY2020A</t>
        </is>
      </c>
      <c r="E2" s="11" t="inlineStr">
        <is>
          <t>FY2021A</t>
        </is>
      </c>
      <c r="F2" s="11" t="inlineStr">
        <is>
          <t>FY2022A</t>
        </is>
      </c>
      <c r="G2" s="11" t="inlineStr">
        <is>
          <t>FY2023A</t>
        </is>
      </c>
      <c r="H2" s="11" t="inlineStr">
        <is>
          <t>FY2024A</t>
        </is>
      </c>
      <c r="I2" s="12" t="inlineStr">
        <is>
          <t>FY2025E</t>
        </is>
      </c>
      <c r="J2" s="12" t="inlineStr">
        <is>
          <t>FY2026E</t>
        </is>
      </c>
      <c r="K2" s="12" t="inlineStr">
        <is>
          <t>FY2027E</t>
        </is>
      </c>
      <c r="L2" s="12" t="inlineStr">
        <is>
          <t>FY2028E</t>
        </is>
      </c>
      <c r="M2" s="12" t="inlineStr">
        <is>
          <t>FY2029E</t>
        </is>
      </c>
    </row>
    <row r="4" ht="15" customHeight="1">
      <c r="B4" s="13" t="inlineStr">
        <is>
          <t>Revenue</t>
        </is>
      </c>
    </row>
    <row r="5" ht="15" customHeight="1">
      <c r="B5" s="14" t="inlineStr">
        <is>
          <t>North America</t>
        </is>
      </c>
      <c r="C5" s="15" t="inlineStr">
        <is>
          <t>Diageo AR FY24 p.42</t>
        </is>
      </c>
      <c r="D5" s="16" t="n">
        <v>4500</v>
      </c>
      <c r="E5" s="16" t="n">
        <v>5246</v>
      </c>
      <c r="F5" s="16" t="n">
        <v>6644</v>
      </c>
      <c r="G5" s="16" t="n">
        <v>7190</v>
      </c>
      <c r="H5" s="16" t="n">
        <v>6480</v>
      </c>
      <c r="I5" s="34">
        <f>'Assumptions'!I5</f>
        <v/>
      </c>
      <c r="J5" s="34">
        <f>'Assumptions'!J5</f>
        <v/>
      </c>
      <c r="K5" s="34">
        <f>'Assumptions'!K5</f>
        <v/>
      </c>
      <c r="L5" s="34">
        <f>'Assumptions'!L5</f>
        <v/>
      </c>
      <c r="M5" s="34">
        <f>'Assumptions'!M5</f>
        <v/>
      </c>
    </row>
    <row r="6" ht="15" customHeight="1">
      <c r="B6" s="14" t="inlineStr">
        <is>
          <t>International</t>
        </is>
      </c>
      <c r="C6" s="15" t="inlineStr">
        <is>
          <t>Diageo AR FY24 p.44</t>
        </is>
      </c>
      <c r="D6" s="16" t="n">
        <v>7252</v>
      </c>
      <c r="E6" s="16" t="n">
        <v>7487</v>
      </c>
      <c r="F6" s="16" t="n">
        <v>8808</v>
      </c>
      <c r="G6" s="16" t="n">
        <v>9923</v>
      </c>
      <c r="H6" s="16" t="n">
        <v>9326</v>
      </c>
      <c r="I6" s="34">
        <f>'Assumptions'!I7</f>
        <v/>
      </c>
      <c r="J6" s="34">
        <f>'Assumptions'!J7</f>
        <v/>
      </c>
      <c r="K6" s="34">
        <f>'Assumptions'!K7</f>
        <v/>
      </c>
      <c r="L6" s="34">
        <f>'Assumptions'!L7</f>
        <v/>
      </c>
      <c r="M6" s="34">
        <f>'Assumptions'!M7</f>
        <v/>
      </c>
    </row>
    <row r="7" ht="15" customHeight="1">
      <c r="B7" s="21" t="inlineStr">
        <is>
          <t>Total Revenue</t>
        </is>
      </c>
      <c r="C7" s="22" t="n"/>
      <c r="D7" s="23">
        <f>D5+D6</f>
        <v/>
      </c>
      <c r="E7" s="23">
        <f>E5+E6</f>
        <v/>
      </c>
      <c r="F7" s="23">
        <f>F5+F6</f>
        <v/>
      </c>
      <c r="G7" s="23">
        <f>G5+G6</f>
        <v/>
      </c>
      <c r="H7" s="23">
        <f>H5+H6</f>
        <v/>
      </c>
      <c r="I7" s="23">
        <f>I5+I6</f>
        <v/>
      </c>
      <c r="J7" s="23">
        <f>J5+J6</f>
        <v/>
      </c>
      <c r="K7" s="23">
        <f>K5+K6</f>
        <v/>
      </c>
      <c r="L7" s="23">
        <f>L5+L6</f>
        <v/>
      </c>
      <c r="M7" s="23">
        <f>M5+M6</f>
        <v/>
      </c>
    </row>
    <row r="9" ht="15" customHeight="1">
      <c r="B9" s="13" t="inlineStr">
        <is>
          <t>Operating Performance</t>
        </is>
      </c>
    </row>
    <row r="10" ht="15" customHeight="1">
      <c r="B10" s="35" t="inlineStr">
        <is>
          <t>Adjusted EBITDA</t>
        </is>
      </c>
      <c r="C10" s="36" t="inlineStr">
        <is>
          <t>Diageo AR FY24 p.30</t>
        </is>
      </c>
      <c r="D10" s="37" t="n">
        <v>4050</v>
      </c>
      <c r="E10" s="37" t="n">
        <v>4410</v>
      </c>
      <c r="F10" s="37" t="n">
        <v>5320</v>
      </c>
      <c r="G10" s="37" t="n">
        <v>5900</v>
      </c>
      <c r="H10" s="37" t="n">
        <v>5380</v>
      </c>
      <c r="I10" s="38">
        <f>'Assumptions'!I12</f>
        <v/>
      </c>
      <c r="J10" s="38">
        <f>'Assumptions'!J12</f>
        <v/>
      </c>
      <c r="K10" s="38">
        <f>'Assumptions'!K12</f>
        <v/>
      </c>
      <c r="L10" s="38">
        <f>'Assumptions'!L12</f>
        <v/>
      </c>
      <c r="M10" s="38">
        <f>'Assumptions'!M12</f>
        <v/>
      </c>
    </row>
    <row r="11" ht="15" customHeight="1">
      <c r="B11" s="18" t="inlineStr">
        <is>
          <t xml:space="preserve">  EBITDA Margin %</t>
        </is>
      </c>
      <c r="D11" s="20">
        <f>D10/D7</f>
        <v/>
      </c>
      <c r="E11" s="20">
        <f>E10/E7</f>
        <v/>
      </c>
      <c r="F11" s="20">
        <f>F10/F7</f>
        <v/>
      </c>
      <c r="G11" s="20">
        <f>G10/G7</f>
        <v/>
      </c>
      <c r="H11" s="20">
        <f>H10/H7</f>
        <v/>
      </c>
      <c r="I11" s="20">
        <f>I10/I7</f>
        <v/>
      </c>
      <c r="J11" s="20">
        <f>J10/J7</f>
        <v/>
      </c>
      <c r="K11" s="20">
        <f>K10/K7</f>
        <v/>
      </c>
      <c r="L11" s="20">
        <f>L10/L7</f>
        <v/>
      </c>
      <c r="M11" s="20">
        <f>M10/M7</f>
        <v/>
      </c>
    </row>
    <row r="13" ht="15" customHeight="1">
      <c r="B13" s="13" t="inlineStr">
        <is>
          <t>D&amp;A and EBIT</t>
        </is>
      </c>
    </row>
    <row r="14" ht="15" customHeight="1">
      <c r="B14" s="14" t="inlineStr">
        <is>
          <t>Total D&amp;A</t>
        </is>
      </c>
      <c r="C14" s="15" t="inlineStr">
        <is>
          <t>Diageo AR Note 5 p.118</t>
        </is>
      </c>
      <c r="D14" s="16" t="n">
        <v>680</v>
      </c>
      <c r="E14" s="16" t="n">
        <v>700</v>
      </c>
      <c r="F14" s="16" t="n">
        <v>750</v>
      </c>
      <c r="G14" s="16" t="n">
        <v>810</v>
      </c>
      <c r="H14" s="16" t="n">
        <v>830</v>
      </c>
      <c r="I14" s="34">
        <f>'Capex &amp; DA'!I21</f>
        <v/>
      </c>
      <c r="J14" s="34">
        <f>'Capex &amp; DA'!J21</f>
        <v/>
      </c>
      <c r="K14" s="34">
        <f>'Capex &amp; DA'!K21</f>
        <v/>
      </c>
      <c r="L14" s="34">
        <f>'Capex &amp; DA'!L21</f>
        <v/>
      </c>
      <c r="M14" s="34">
        <f>'Capex &amp; DA'!M21</f>
        <v/>
      </c>
    </row>
    <row r="15" ht="15" customHeight="1">
      <c r="B15" s="21" t="inlineStr">
        <is>
          <t>EBIT (Operating Profit)</t>
        </is>
      </c>
      <c r="C15" s="22" t="n"/>
      <c r="D15" s="23">
        <f>D10-D14</f>
        <v/>
      </c>
      <c r="E15" s="23">
        <f>E10-E14</f>
        <v/>
      </c>
      <c r="F15" s="23">
        <f>F10-F14</f>
        <v/>
      </c>
      <c r="G15" s="23">
        <f>G10-G14</f>
        <v/>
      </c>
      <c r="H15" s="23">
        <f>H10-H14</f>
        <v/>
      </c>
      <c r="I15" s="23">
        <f>I10-I14</f>
        <v/>
      </c>
      <c r="J15" s="23">
        <f>J10-J14</f>
        <v/>
      </c>
      <c r="K15" s="23">
        <f>K10-K14</f>
        <v/>
      </c>
      <c r="L15" s="23">
        <f>L10-L14</f>
        <v/>
      </c>
      <c r="M15" s="23">
        <f>M10-M14</f>
        <v/>
      </c>
    </row>
    <row r="16" ht="15" customHeight="1">
      <c r="B16" s="18" t="inlineStr">
        <is>
          <t xml:space="preserve">  EBIT Margin %</t>
        </is>
      </c>
      <c r="D16" s="20">
        <f>D15/D7</f>
        <v/>
      </c>
      <c r="E16" s="20">
        <f>E15/E7</f>
        <v/>
      </c>
      <c r="F16" s="20">
        <f>F15/F7</f>
        <v/>
      </c>
      <c r="G16" s="20">
        <f>G15/G7</f>
        <v/>
      </c>
      <c r="H16" s="20">
        <f>H15/H7</f>
        <v/>
      </c>
      <c r="I16" s="20">
        <f>I15/I7</f>
        <v/>
      </c>
      <c r="J16" s="20">
        <f>J15/J7</f>
        <v/>
      </c>
      <c r="K16" s="20">
        <f>K15/K7</f>
        <v/>
      </c>
      <c r="L16" s="20">
        <f>L15/L7</f>
        <v/>
      </c>
      <c r="M16" s="20">
        <f>M15/M7</f>
        <v/>
      </c>
    </row>
    <row r="18" ht="15" customHeight="1">
      <c r="B18" s="13" t="inlineStr">
        <is>
          <t>Finance Costs, Tax, PAT</t>
        </is>
      </c>
    </row>
    <row r="19" ht="15" customHeight="1">
      <c r="B19" s="4" t="inlineStr">
        <is>
          <t>Net Finance Costs</t>
        </is>
      </c>
      <c r="C19" s="15" t="inlineStr">
        <is>
          <t>Diageo AR FY24 p.122</t>
        </is>
      </c>
      <c r="D19" s="16" t="n">
        <v>530</v>
      </c>
      <c r="E19" s="16" t="n">
        <v>470</v>
      </c>
      <c r="F19" s="16" t="n">
        <v>500</v>
      </c>
      <c r="G19" s="16" t="n">
        <v>680</v>
      </c>
      <c r="H19" s="16" t="n">
        <v>750</v>
      </c>
      <c r="I19" s="34">
        <f>'Debt &amp; Interest'!I20</f>
        <v/>
      </c>
      <c r="J19" s="34">
        <f>'Debt &amp; Interest'!J20</f>
        <v/>
      </c>
      <c r="K19" s="34">
        <f>'Debt &amp; Interest'!K20</f>
        <v/>
      </c>
      <c r="L19" s="34">
        <f>'Debt &amp; Interest'!L20</f>
        <v/>
      </c>
      <c r="M19" s="34">
        <f>'Debt &amp; Interest'!M20</f>
        <v/>
      </c>
    </row>
    <row r="20" ht="15" customHeight="1">
      <c r="B20" s="14" t="inlineStr">
        <is>
          <t>Profit Before Tax</t>
        </is>
      </c>
      <c r="D20" s="39">
        <f>D15-D19</f>
        <v/>
      </c>
      <c r="E20" s="39">
        <f>E15-E19</f>
        <v/>
      </c>
      <c r="F20" s="39">
        <f>F15-F19</f>
        <v/>
      </c>
      <c r="G20" s="39">
        <f>G15-G19</f>
        <v/>
      </c>
      <c r="H20" s="39">
        <f>H15-H19</f>
        <v/>
      </c>
      <c r="I20" s="39">
        <f>I15-I19</f>
        <v/>
      </c>
      <c r="J20" s="39">
        <f>J15-J19</f>
        <v/>
      </c>
      <c r="K20" s="39">
        <f>K15-K19</f>
        <v/>
      </c>
      <c r="L20" s="39">
        <f>L15-L19</f>
        <v/>
      </c>
      <c r="M20" s="39">
        <f>M15-M19</f>
        <v/>
      </c>
    </row>
    <row r="21" ht="15" customHeight="1">
      <c r="B21" s="18" t="inlineStr">
        <is>
          <t xml:space="preserve">  Tax Charge</t>
        </is>
      </c>
      <c r="C21" s="15" t="inlineStr">
        <is>
          <t>Note 8 p.126</t>
        </is>
      </c>
      <c r="D21" s="17">
        <f>D20*'Assumptions'!D21</f>
        <v/>
      </c>
      <c r="E21" s="17">
        <f>E20*'Assumptions'!E21</f>
        <v/>
      </c>
      <c r="F21" s="17">
        <f>F20*'Assumptions'!F21</f>
        <v/>
      </c>
      <c r="G21" s="17">
        <f>G20*'Assumptions'!G21</f>
        <v/>
      </c>
      <c r="H21" s="17">
        <f>H20*'Assumptions'!H21</f>
        <v/>
      </c>
      <c r="I21" s="17">
        <f>I20*'Assumptions'!I21</f>
        <v/>
      </c>
      <c r="J21" s="17">
        <f>J20*'Assumptions'!J21</f>
        <v/>
      </c>
      <c r="K21" s="17">
        <f>K20*'Assumptions'!K21</f>
        <v/>
      </c>
      <c r="L21" s="17">
        <f>L20*'Assumptions'!L21</f>
        <v/>
      </c>
      <c r="M21" s="17">
        <f>M20*'Assumptions'!M21</f>
        <v/>
      </c>
    </row>
    <row r="22" ht="15" customHeight="1">
      <c r="B22" s="27" t="inlineStr">
        <is>
          <t>Net Income (PAT)</t>
        </is>
      </c>
      <c r="C22" s="28" t="n"/>
      <c r="D22" s="40">
        <f>D20-D21</f>
        <v/>
      </c>
      <c r="E22" s="40">
        <f>E20-E21</f>
        <v/>
      </c>
      <c r="F22" s="40">
        <f>F20-F21</f>
        <v/>
      </c>
      <c r="G22" s="40">
        <f>G20-G21</f>
        <v/>
      </c>
      <c r="H22" s="40">
        <f>H20-H21</f>
        <v/>
      </c>
      <c r="I22" s="40">
        <f>I20-I21</f>
        <v/>
      </c>
      <c r="J22" s="40">
        <f>J20-J21</f>
        <v/>
      </c>
      <c r="K22" s="40">
        <f>K20-K21</f>
        <v/>
      </c>
      <c r="L22" s="40">
        <f>L20-L21</f>
        <v/>
      </c>
      <c r="M22" s="40">
        <f>M20-M21</f>
        <v/>
      </c>
    </row>
    <row r="23" ht="15" customHeight="1">
      <c r="B23" s="18" t="inlineStr">
        <is>
          <t xml:space="preserve">  Net Margin %</t>
        </is>
      </c>
      <c r="D23" s="20">
        <f>D22/D7</f>
        <v/>
      </c>
      <c r="E23" s="20">
        <f>E22/E7</f>
        <v/>
      </c>
      <c r="F23" s="20">
        <f>F22/F7</f>
        <v/>
      </c>
      <c r="G23" s="20">
        <f>G22/G7</f>
        <v/>
      </c>
      <c r="H23" s="20">
        <f>H22/H7</f>
        <v/>
      </c>
      <c r="I23" s="20">
        <f>I22/I7</f>
        <v/>
      </c>
      <c r="J23" s="20">
        <f>J22/J7</f>
        <v/>
      </c>
      <c r="K23" s="20">
        <f>K22/K7</f>
        <v/>
      </c>
      <c r="L23" s="20">
        <f>L22/L7</f>
        <v/>
      </c>
      <c r="M23" s="20">
        <f>M22/M7</f>
        <v/>
      </c>
    </row>
    <row r="25" ht="15" customHeight="1">
      <c r="B25" s="13" t="inlineStr">
        <is>
          <t>Per Share Metrics</t>
        </is>
      </c>
    </row>
    <row r="26" ht="15" customHeight="1">
      <c r="B26" s="4" t="inlineStr">
        <is>
          <t>Diluted Shares (m)</t>
        </is>
      </c>
      <c r="C26" s="15" t="inlineStr">
        <is>
          <t>Diageo AR FY24 p.134</t>
        </is>
      </c>
      <c r="D26" s="16" t="n">
        <v>2358</v>
      </c>
      <c r="E26" s="16" t="n">
        <v>2340</v>
      </c>
      <c r="F26" s="16" t="n">
        <v>2305</v>
      </c>
      <c r="G26" s="16" t="n">
        <v>2270</v>
      </c>
      <c r="H26" s="16" t="n">
        <v>2235</v>
      </c>
      <c r="I26" s="34">
        <f>'Div &amp; Buyback'!I8</f>
        <v/>
      </c>
      <c r="J26" s="34">
        <f>'Div &amp; Buyback'!J8</f>
        <v/>
      </c>
      <c r="K26" s="34">
        <f>'Div &amp; Buyback'!K8</f>
        <v/>
      </c>
      <c r="L26" s="34">
        <f>'Div &amp; Buyback'!L8</f>
        <v/>
      </c>
      <c r="M26" s="34">
        <f>'Div &amp; Buyback'!M8</f>
        <v/>
      </c>
    </row>
    <row r="27" ht="15" customHeight="1">
      <c r="B27" s="30" t="inlineStr">
        <is>
          <t>EPS (pence)</t>
        </is>
      </c>
      <c r="C27" s="32" t="n"/>
      <c r="D27" s="41">
        <f>D22/D26*100</f>
        <v/>
      </c>
      <c r="E27" s="41">
        <f>E22/E26*100</f>
        <v/>
      </c>
      <c r="F27" s="41">
        <f>F22/F26*100</f>
        <v/>
      </c>
      <c r="G27" s="41">
        <f>G22/G26*100</f>
        <v/>
      </c>
      <c r="H27" s="41">
        <f>H22/H26*100</f>
        <v/>
      </c>
      <c r="I27" s="41">
        <f>I22/I26*100</f>
        <v/>
      </c>
      <c r="J27" s="41">
        <f>J22/J26*100</f>
        <v/>
      </c>
      <c r="K27" s="41">
        <f>K22/K26*100</f>
        <v/>
      </c>
      <c r="L27" s="41">
        <f>L22/L26*100</f>
        <v/>
      </c>
      <c r="M27" s="41">
        <f>M22/M26*100</f>
        <v/>
      </c>
    </row>
    <row r="28" ht="15" customHeight="1">
      <c r="B28" s="4" t="inlineStr">
        <is>
          <t>DPS (pence)</t>
        </is>
      </c>
      <c r="C28" s="15" t="inlineStr">
        <is>
          <t>Diageo AR FY24 p.140</t>
        </is>
      </c>
      <c r="D28" s="26" t="n">
        <v>69.88</v>
      </c>
      <c r="E28" s="26" t="n">
        <v>72.55</v>
      </c>
      <c r="F28" s="26" t="n">
        <v>76.18000000000001</v>
      </c>
      <c r="G28" s="26" t="n">
        <v>80</v>
      </c>
      <c r="H28" s="26" t="n">
        <v>83.23999999999999</v>
      </c>
      <c r="I28" s="42">
        <f>'Div &amp; Buyback'!I11</f>
        <v/>
      </c>
      <c r="J28" s="42">
        <f>'Div &amp; Buyback'!J11</f>
        <v/>
      </c>
      <c r="K28" s="42">
        <f>'Div &amp; Buyback'!K11</f>
        <v/>
      </c>
      <c r="L28" s="42">
        <f>'Div &amp; Buyback'!L11</f>
        <v/>
      </c>
      <c r="M28" s="42">
        <f>'Div &amp; Buyback'!M11</f>
        <v/>
      </c>
    </row>
  </sheetData>
  <mergeCells count="6">
    <mergeCell ref="B25:M25"/>
    <mergeCell ref="B1:M1"/>
    <mergeCell ref="B18:M18"/>
    <mergeCell ref="B13:M13"/>
    <mergeCell ref="B9:M9"/>
    <mergeCell ref="B4:M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M19"/>
  <sheetViews>
    <sheetView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22" customHeight="1">
      <c r="B1" s="10" t="inlineStr">
        <is>
          <t>WORKING CAPITAL SCHEDULE   (£m; days on total revenue)</t>
        </is>
      </c>
    </row>
    <row r="2" ht="16" customHeight="1">
      <c r="D2" s="11" t="inlineStr">
        <is>
          <t>FY2020A</t>
        </is>
      </c>
      <c r="E2" s="11" t="inlineStr">
        <is>
          <t>FY2021A</t>
        </is>
      </c>
      <c r="F2" s="11" t="inlineStr">
        <is>
          <t>FY2022A</t>
        </is>
      </c>
      <c r="G2" s="11" t="inlineStr">
        <is>
          <t>FY2023A</t>
        </is>
      </c>
      <c r="H2" s="11" t="inlineStr">
        <is>
          <t>FY2024A</t>
        </is>
      </c>
      <c r="I2" s="12" t="inlineStr">
        <is>
          <t>FY2025E</t>
        </is>
      </c>
      <c r="J2" s="12" t="inlineStr">
        <is>
          <t>FY2026E</t>
        </is>
      </c>
      <c r="K2" s="12" t="inlineStr">
        <is>
          <t>FY2027E</t>
        </is>
      </c>
      <c r="L2" s="12" t="inlineStr">
        <is>
          <t>FY2028E</t>
        </is>
      </c>
      <c r="M2" s="12" t="inlineStr">
        <is>
          <t>FY2029E</t>
        </is>
      </c>
    </row>
    <row r="4" ht="15" customHeight="1">
      <c r="B4" s="13" t="inlineStr">
        <is>
          <t>Current Assets</t>
        </is>
      </c>
    </row>
    <row r="5" ht="15" customHeight="1">
      <c r="B5" s="14" t="inlineStr">
        <is>
          <t>Inventories (£m)</t>
        </is>
      </c>
      <c r="C5" s="15" t="inlineStr">
        <is>
          <t>Diageo AR Note 15 p.132</t>
        </is>
      </c>
      <c r="D5" s="16" t="n">
        <v>5800</v>
      </c>
      <c r="E5" s="16" t="n">
        <v>6100</v>
      </c>
      <c r="F5" s="16" t="n">
        <v>6500</v>
      </c>
      <c r="G5" s="16" t="n">
        <v>7200</v>
      </c>
      <c r="H5" s="16" t="n">
        <v>7400</v>
      </c>
      <c r="I5" s="17">
        <f>ROUND(I6/365*'Income Statement'!I7,0)</f>
        <v/>
      </c>
      <c r="J5" s="17">
        <f>ROUND(J6/365*'Income Statement'!J7,0)</f>
        <v/>
      </c>
      <c r="K5" s="17">
        <f>ROUND(K6/365*'Income Statement'!K7,0)</f>
        <v/>
      </c>
      <c r="L5" s="17">
        <f>ROUND(L6/365*'Income Statement'!L7,0)</f>
        <v/>
      </c>
      <c r="M5" s="17">
        <f>ROUND(M6/365*'Income Statement'!M7,0)</f>
        <v/>
      </c>
    </row>
    <row r="6" ht="15" customHeight="1">
      <c r="B6" s="18" t="inlineStr">
        <is>
          <t xml:space="preserve">  DIO (days)</t>
        </is>
      </c>
      <c r="C6" s="15" t="inlineStr">
        <is>
          <t>High DIO reflects maturing stock</t>
        </is>
      </c>
      <c r="D6" s="43">
        <f>ROUND(D5/'Income Statement'!D7*365,1)</f>
        <v/>
      </c>
      <c r="E6" s="43">
        <f>ROUND(E5/'Income Statement'!E7*365,1)</f>
        <v/>
      </c>
      <c r="F6" s="43">
        <f>ROUND(F5/'Income Statement'!F7*365,1)</f>
        <v/>
      </c>
      <c r="G6" s="43">
        <f>ROUND(G5/'Income Statement'!G7*365,1)</f>
        <v/>
      </c>
      <c r="H6" s="43">
        <f>ROUND(H5/'Income Statement'!H7*365,1)</f>
        <v/>
      </c>
      <c r="I6" s="26" t="n">
        <v>168</v>
      </c>
      <c r="J6" s="26" t="n">
        <v>166</v>
      </c>
      <c r="K6" s="26" t="n">
        <v>164</v>
      </c>
      <c r="L6" s="26" t="n">
        <v>162</v>
      </c>
      <c r="M6" s="26" t="n">
        <v>160</v>
      </c>
    </row>
    <row r="7" ht="15" customHeight="1">
      <c r="B7" s="14" t="inlineStr">
        <is>
          <t>Trade Receivables (£m)</t>
        </is>
      </c>
      <c r="C7" s="15" t="inlineStr">
        <is>
          <t>Diageo AR Note 16 p.133</t>
        </is>
      </c>
      <c r="D7" s="16" t="n">
        <v>2100</v>
      </c>
      <c r="E7" s="16" t="n">
        <v>2300</v>
      </c>
      <c r="F7" s="16" t="n">
        <v>2700</v>
      </c>
      <c r="G7" s="16" t="n">
        <v>2900</v>
      </c>
      <c r="H7" s="16" t="n">
        <v>2750</v>
      </c>
      <c r="I7" s="17">
        <f>ROUND(I8/365*'Income Statement'!I7,0)</f>
        <v/>
      </c>
      <c r="J7" s="17">
        <f>ROUND(J8/365*'Income Statement'!J7,0)</f>
        <v/>
      </c>
      <c r="K7" s="17">
        <f>ROUND(K8/365*'Income Statement'!K7,0)</f>
        <v/>
      </c>
      <c r="L7" s="17">
        <f>ROUND(L8/365*'Income Statement'!L7,0)</f>
        <v/>
      </c>
      <c r="M7" s="17">
        <f>ROUND(M8/365*'Income Statement'!M7,0)</f>
        <v/>
      </c>
    </row>
    <row r="8" ht="15" customHeight="1">
      <c r="B8" s="18" t="inlineStr">
        <is>
          <t xml:space="preserve">  DSO (days)</t>
        </is>
      </c>
      <c r="C8" s="15" t="inlineStr">
        <is>
          <t>Wholesale/distributor terms</t>
        </is>
      </c>
      <c r="D8" s="43">
        <f>ROUND(D7/'Income Statement'!D7*365,1)</f>
        <v/>
      </c>
      <c r="E8" s="43">
        <f>ROUND(E7/'Income Statement'!E7*365,1)</f>
        <v/>
      </c>
      <c r="F8" s="43">
        <f>ROUND(F7/'Income Statement'!F7*365,1)</f>
        <v/>
      </c>
      <c r="G8" s="43">
        <f>ROUND(G7/'Income Statement'!G7*365,1)</f>
        <v/>
      </c>
      <c r="H8" s="43">
        <f>ROUND(H7/'Income Statement'!H7*365,1)</f>
        <v/>
      </c>
      <c r="I8" s="26" t="n">
        <v>63</v>
      </c>
      <c r="J8" s="26" t="n">
        <v>62.5</v>
      </c>
      <c r="K8" s="26" t="n">
        <v>62</v>
      </c>
      <c r="L8" s="26" t="n">
        <v>61.5</v>
      </c>
      <c r="M8" s="26" t="n">
        <v>61</v>
      </c>
    </row>
    <row r="9" ht="15" customHeight="1">
      <c r="B9" s="4" t="inlineStr">
        <is>
          <t>Other Current Assets (£m)</t>
        </is>
      </c>
      <c r="C9" s="15" t="inlineStr">
        <is>
          <t>Note 14 p.131</t>
        </is>
      </c>
      <c r="D9" s="16" t="n">
        <v>500</v>
      </c>
      <c r="E9" s="16" t="n">
        <v>520</v>
      </c>
      <c r="F9" s="16" t="n">
        <v>560</v>
      </c>
      <c r="G9" s="16" t="n">
        <v>580</v>
      </c>
      <c r="H9" s="16" t="n">
        <v>600</v>
      </c>
      <c r="I9" s="17">
        <f>ROUND('Income Statement'!I7*0.036,0)</f>
        <v/>
      </c>
      <c r="J9" s="17">
        <f>ROUND('Income Statement'!J7*0.036,0)</f>
        <v/>
      </c>
      <c r="K9" s="17">
        <f>ROUND('Income Statement'!K7*0.036,0)</f>
        <v/>
      </c>
      <c r="L9" s="17">
        <f>ROUND('Income Statement'!L7*0.036,0)</f>
        <v/>
      </c>
      <c r="M9" s="17">
        <f>ROUND('Income Statement'!M7*0.036,0)</f>
        <v/>
      </c>
    </row>
    <row r="11" ht="15" customHeight="1">
      <c r="B11" s="13" t="inlineStr">
        <is>
          <t>Current Liabilities</t>
        </is>
      </c>
    </row>
    <row r="12" ht="15" customHeight="1">
      <c r="B12" s="14" t="inlineStr">
        <is>
          <t>Trade Payables (£m)</t>
        </is>
      </c>
      <c r="C12" s="15" t="inlineStr">
        <is>
          <t>Diageo AR Note 19 p.136</t>
        </is>
      </c>
      <c r="D12" s="16" t="n">
        <v>3200</v>
      </c>
      <c r="E12" s="16" t="n">
        <v>3400</v>
      </c>
      <c r="F12" s="16" t="n">
        <v>3800</v>
      </c>
      <c r="G12" s="16" t="n">
        <v>4100</v>
      </c>
      <c r="H12" s="16" t="n">
        <v>3900</v>
      </c>
      <c r="I12" s="17">
        <f>ROUND(I13/365*'Income Statement'!I7,0)</f>
        <v/>
      </c>
      <c r="J12" s="17">
        <f>ROUND(J13/365*'Income Statement'!J7,0)</f>
        <v/>
      </c>
      <c r="K12" s="17">
        <f>ROUND(K13/365*'Income Statement'!K7,0)</f>
        <v/>
      </c>
      <c r="L12" s="17">
        <f>ROUND(L13/365*'Income Statement'!L7,0)</f>
        <v/>
      </c>
      <c r="M12" s="17">
        <f>ROUND(M13/365*'Income Statement'!M7,0)</f>
        <v/>
      </c>
    </row>
    <row r="13" ht="15" customHeight="1">
      <c r="B13" s="18" t="inlineStr">
        <is>
          <t xml:space="preserve">  DPO (days)</t>
        </is>
      </c>
      <c r="C13" s="15" t="inlineStr">
        <is>
          <t>Stable supplier payment terms</t>
        </is>
      </c>
      <c r="D13" s="43">
        <f>ROUND(D12/'Income Statement'!D7*365,1)</f>
        <v/>
      </c>
      <c r="E13" s="43">
        <f>ROUND(E12/'Income Statement'!E7*365,1)</f>
        <v/>
      </c>
      <c r="F13" s="43">
        <f>ROUND(F12/'Income Statement'!F7*365,1)</f>
        <v/>
      </c>
      <c r="G13" s="43">
        <f>ROUND(G12/'Income Statement'!G7*365,1)</f>
        <v/>
      </c>
      <c r="H13" s="43">
        <f>ROUND(H12/'Income Statement'!H7*365,1)</f>
        <v/>
      </c>
      <c r="I13" s="26" t="n">
        <v>90</v>
      </c>
      <c r="J13" s="26" t="n">
        <v>90</v>
      </c>
      <c r="K13" s="26" t="n">
        <v>91</v>
      </c>
      <c r="L13" s="26" t="n">
        <v>91</v>
      </c>
      <c r="M13" s="26" t="n">
        <v>92</v>
      </c>
    </row>
    <row r="14" ht="15" customHeight="1">
      <c r="B14" s="4" t="inlineStr">
        <is>
          <t>Current Lease Liabilities (£m)</t>
        </is>
      </c>
      <c r="C14" s="15" t="inlineStr">
        <is>
          <t>Note 22 p.139</t>
        </is>
      </c>
      <c r="D14" s="16" t="n">
        <v>120</v>
      </c>
      <c r="E14" s="16" t="n">
        <v>125</v>
      </c>
      <c r="F14" s="16" t="n">
        <v>130</v>
      </c>
      <c r="G14" s="16" t="n">
        <v>135</v>
      </c>
      <c r="H14" s="16" t="n">
        <v>140</v>
      </c>
      <c r="I14" s="17">
        <f>ROUND('Income Statement'!I7*0.008,0)</f>
        <v/>
      </c>
      <c r="J14" s="17">
        <f>ROUND('Income Statement'!J7*0.008,0)</f>
        <v/>
      </c>
      <c r="K14" s="17">
        <f>ROUND('Income Statement'!K7*0.008,0)</f>
        <v/>
      </c>
      <c r="L14" s="17">
        <f>ROUND('Income Statement'!L7*0.008,0)</f>
        <v/>
      </c>
      <c r="M14" s="17">
        <f>ROUND('Income Statement'!M7*0.008,0)</f>
        <v/>
      </c>
    </row>
    <row r="15" ht="15" customHeight="1">
      <c r="B15" s="4" t="inlineStr">
        <is>
          <t>Other Current Liabilities (£m)</t>
        </is>
      </c>
      <c r="C15" s="15" t="inlineStr">
        <is>
          <t>Note 19 p.136</t>
        </is>
      </c>
      <c r="D15" s="16" t="n">
        <v>2400</v>
      </c>
      <c r="E15" s="16" t="n">
        <v>2500</v>
      </c>
      <c r="F15" s="16" t="n">
        <v>2700</v>
      </c>
      <c r="G15" s="16" t="n">
        <v>2900</v>
      </c>
      <c r="H15" s="16" t="n">
        <v>2800</v>
      </c>
      <c r="I15" s="17">
        <f>ROUND('Income Statement'!I7*0.168,0)</f>
        <v/>
      </c>
      <c r="J15" s="17">
        <f>ROUND('Income Statement'!J7*0.168,0)</f>
        <v/>
      </c>
      <c r="K15" s="17">
        <f>ROUND('Income Statement'!K7*0.168,0)</f>
        <v/>
      </c>
      <c r="L15" s="17">
        <f>ROUND('Income Statement'!L7*0.168,0)</f>
        <v/>
      </c>
      <c r="M15" s="17">
        <f>ROUND('Income Statement'!M7*0.168,0)</f>
        <v/>
      </c>
    </row>
    <row r="17" ht="15" customHeight="1">
      <c r="B17" s="13" t="inlineStr">
        <is>
          <t>Net Working Capital</t>
        </is>
      </c>
    </row>
    <row r="18" ht="15" customHeight="1">
      <c r="B18" s="30" t="inlineStr">
        <is>
          <t>Net Working Capital (£m)</t>
        </is>
      </c>
      <c r="C18" s="31" t="inlineStr">
        <is>
          <t>Inv+Recv+OthCA-Pay-CurrLease-OthCL</t>
        </is>
      </c>
      <c r="D18" s="44">
        <f>D5+D7+D9-D12-D14-D15</f>
        <v/>
      </c>
      <c r="E18" s="44">
        <f>E5+E7+E9-E12-E14-E15</f>
        <v/>
      </c>
      <c r="F18" s="44">
        <f>F5+F7+F9-F12-F14-F15</f>
        <v/>
      </c>
      <c r="G18" s="44">
        <f>G5+G7+G9-G12-G14-G15</f>
        <v/>
      </c>
      <c r="H18" s="44">
        <f>H5+H7+H9-H12-H14-H15</f>
        <v/>
      </c>
      <c r="I18" s="44">
        <f>I5+I7+I9-I12-I14-I15</f>
        <v/>
      </c>
      <c r="J18" s="44">
        <f>J5+J7+J9-J12-J14-J15</f>
        <v/>
      </c>
      <c r="K18" s="44">
        <f>K5+K7+K9-K12-K14-K15</f>
        <v/>
      </c>
      <c r="L18" s="44">
        <f>L5+L7+L9-L12-L14-L15</f>
        <v/>
      </c>
      <c r="M18" s="44">
        <f>M5+M7+M9-M12-M14-M15</f>
        <v/>
      </c>
    </row>
    <row r="19" ht="15" customHeight="1">
      <c r="B19" s="45" t="inlineStr">
        <is>
          <t>Change in NWC  [+=cash out]</t>
        </is>
      </c>
      <c r="C19" s="46" t="inlineStr">
        <is>
          <t>delta NWC = NWC(t) - NWC(t-1)</t>
        </is>
      </c>
      <c r="D19" s="47">
        <f>0</f>
        <v/>
      </c>
      <c r="E19" s="48">
        <f>E18-D18</f>
        <v/>
      </c>
      <c r="F19" s="48">
        <f>F18-E18</f>
        <v/>
      </c>
      <c r="G19" s="48">
        <f>G18-F18</f>
        <v/>
      </c>
      <c r="H19" s="48">
        <f>H18-G18</f>
        <v/>
      </c>
      <c r="I19" s="48">
        <f>I18-H18</f>
        <v/>
      </c>
      <c r="J19" s="48">
        <f>J18-I18</f>
        <v/>
      </c>
      <c r="K19" s="48">
        <f>K18-J18</f>
        <v/>
      </c>
      <c r="L19" s="48">
        <f>L18-K18</f>
        <v/>
      </c>
      <c r="M19" s="48">
        <f>M18-L18</f>
        <v/>
      </c>
    </row>
  </sheetData>
  <mergeCells count="4">
    <mergeCell ref="B4:M4"/>
    <mergeCell ref="B17:M17"/>
    <mergeCell ref="B11:M11"/>
    <mergeCell ref="B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M23"/>
  <sheetViews>
    <sheetView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22" customHeight="1">
      <c r="B1" s="10" t="inlineStr">
        <is>
          <t>CAPEX &amp; D&amp;A SCHEDULE   (£m)</t>
        </is>
      </c>
    </row>
    <row r="2" ht="16" customHeight="1">
      <c r="D2" s="11" t="inlineStr">
        <is>
          <t>FY2020A</t>
        </is>
      </c>
      <c r="E2" s="11" t="inlineStr">
        <is>
          <t>FY2021A</t>
        </is>
      </c>
      <c r="F2" s="11" t="inlineStr">
        <is>
          <t>FY2022A</t>
        </is>
      </c>
      <c r="G2" s="11" t="inlineStr">
        <is>
          <t>FY2023A</t>
        </is>
      </c>
      <c r="H2" s="11" t="inlineStr">
        <is>
          <t>FY2024A</t>
        </is>
      </c>
      <c r="I2" s="12" t="inlineStr">
        <is>
          <t>FY2025E</t>
        </is>
      </c>
      <c r="J2" s="12" t="inlineStr">
        <is>
          <t>FY2026E</t>
        </is>
      </c>
      <c r="K2" s="12" t="inlineStr">
        <is>
          <t>FY2027E</t>
        </is>
      </c>
      <c r="L2" s="12" t="inlineStr">
        <is>
          <t>FY2028E</t>
        </is>
      </c>
      <c r="M2" s="12" t="inlineStr">
        <is>
          <t>FY2029E</t>
        </is>
      </c>
    </row>
    <row r="4" ht="15" customHeight="1">
      <c r="B4" s="13" t="inlineStr">
        <is>
          <t>PP&amp;E Rollforward (net book value)</t>
        </is>
      </c>
    </row>
    <row r="5" ht="15" customHeight="1">
      <c r="B5" s="14" t="inlineStr">
        <is>
          <t>Opening PP&amp;E (net)</t>
        </is>
      </c>
      <c r="C5" s="15" t="inlineStr">
        <is>
          <t>Diageo AR FY20 BS</t>
        </is>
      </c>
      <c r="D5" s="16" t="n">
        <v>4800</v>
      </c>
      <c r="E5" s="17">
        <f>D8</f>
        <v/>
      </c>
      <c r="F5" s="17">
        <f>E8</f>
        <v/>
      </c>
      <c r="G5" s="17">
        <f>F8</f>
        <v/>
      </c>
      <c r="H5" s="17">
        <f>G8</f>
        <v/>
      </c>
      <c r="I5" s="17">
        <f>H8</f>
        <v/>
      </c>
      <c r="J5" s="17">
        <f>I8</f>
        <v/>
      </c>
      <c r="K5" s="17">
        <f>J8</f>
        <v/>
      </c>
      <c r="L5" s="17">
        <f>K8</f>
        <v/>
      </c>
      <c r="M5" s="17">
        <f>L8</f>
        <v/>
      </c>
    </row>
    <row r="6" ht="15" customHeight="1">
      <c r="B6" s="4" t="inlineStr">
        <is>
          <t xml:space="preserve">  Capex Additions</t>
        </is>
      </c>
      <c r="C6" s="15" t="inlineStr">
        <is>
          <t>Diageo AR p.140</t>
        </is>
      </c>
      <c r="D6" s="16" t="n">
        <v>550</v>
      </c>
      <c r="E6" s="16" t="n">
        <v>480</v>
      </c>
      <c r="F6" s="16" t="n">
        <v>620</v>
      </c>
      <c r="G6" s="16" t="n">
        <v>760</v>
      </c>
      <c r="H6" s="16" t="n">
        <v>810</v>
      </c>
      <c r="I6" s="34">
        <f>'Assumptions'!I16</f>
        <v/>
      </c>
      <c r="J6" s="34">
        <f>'Assumptions'!J16</f>
        <v/>
      </c>
      <c r="K6" s="34">
        <f>'Assumptions'!K16</f>
        <v/>
      </c>
      <c r="L6" s="34">
        <f>'Assumptions'!L16</f>
        <v/>
      </c>
      <c r="M6" s="34">
        <f>'Assumptions'!M16</f>
        <v/>
      </c>
    </row>
    <row r="7" ht="15" customHeight="1">
      <c r="B7" s="4" t="inlineStr">
        <is>
          <t xml:space="preserve">  Less: PP&amp;E Depreciation</t>
        </is>
      </c>
      <c r="C7" s="15" t="inlineStr">
        <is>
          <t>Diageo AR Note 10 p.128</t>
        </is>
      </c>
      <c r="D7" s="16" t="n">
        <v>420</v>
      </c>
      <c r="E7" s="16" t="n">
        <v>430</v>
      </c>
      <c r="F7" s="16" t="n">
        <v>450</v>
      </c>
      <c r="G7" s="16" t="n">
        <v>480</v>
      </c>
      <c r="H7" s="16" t="n">
        <v>500</v>
      </c>
      <c r="I7" s="16" t="n">
        <v>520</v>
      </c>
      <c r="J7" s="16" t="n">
        <v>530</v>
      </c>
      <c r="K7" s="16" t="n">
        <v>540</v>
      </c>
      <c r="L7" s="16" t="n">
        <v>550</v>
      </c>
      <c r="M7" s="16" t="n">
        <v>560</v>
      </c>
    </row>
    <row r="8" ht="15" customHeight="1">
      <c r="B8" s="35" t="inlineStr">
        <is>
          <t>Closing PP&amp;E (net)</t>
        </is>
      </c>
      <c r="C8" s="49" t="n"/>
      <c r="D8" s="50">
        <f>D5+D6-D7</f>
        <v/>
      </c>
      <c r="E8" s="50">
        <f>E5+E6-E7</f>
        <v/>
      </c>
      <c r="F8" s="50">
        <f>F5+F6-F7</f>
        <v/>
      </c>
      <c r="G8" s="50">
        <f>G5+G6-G7</f>
        <v/>
      </c>
      <c r="H8" s="50">
        <f>H5+H6-H7</f>
        <v/>
      </c>
      <c r="I8" s="50">
        <f>I5+I6-I7</f>
        <v/>
      </c>
      <c r="J8" s="50">
        <f>J5+J6-J7</f>
        <v/>
      </c>
      <c r="K8" s="50">
        <f>K5+K6-K7</f>
        <v/>
      </c>
      <c r="L8" s="50">
        <f>L5+L6-L7</f>
        <v/>
      </c>
      <c r="M8" s="50">
        <f>M5+M6-M7</f>
        <v/>
      </c>
    </row>
    <row r="10" ht="15" customHeight="1">
      <c r="B10" s="13" t="inlineStr">
        <is>
          <t>Right-of-Use Asset Rollforward (IFRS 16)</t>
        </is>
      </c>
    </row>
    <row r="11" ht="15" customHeight="1">
      <c r="B11" s="14" t="inlineStr">
        <is>
          <t>Opening ROU Asset</t>
        </is>
      </c>
      <c r="C11" s="15" t="inlineStr">
        <is>
          <t>Diageo AR FY20</t>
        </is>
      </c>
      <c r="D11" s="16" t="n">
        <v>780</v>
      </c>
      <c r="E11" s="17">
        <f>D14</f>
        <v/>
      </c>
      <c r="F11" s="17">
        <f>E14</f>
        <v/>
      </c>
      <c r="G11" s="17">
        <f>F14</f>
        <v/>
      </c>
      <c r="H11" s="17">
        <f>G14</f>
        <v/>
      </c>
      <c r="I11" s="17">
        <f>H14</f>
        <v/>
      </c>
      <c r="J11" s="17">
        <f>I14</f>
        <v/>
      </c>
      <c r="K11" s="17">
        <f>J14</f>
        <v/>
      </c>
      <c r="L11" s="17">
        <f>K14</f>
        <v/>
      </c>
      <c r="M11" s="17">
        <f>L14</f>
        <v/>
      </c>
    </row>
    <row r="12" ht="15" customHeight="1">
      <c r="B12" s="4" t="inlineStr">
        <is>
          <t xml:space="preserve">  New Leases / Remeasurements</t>
        </is>
      </c>
      <c r="C12" s="15" t="inlineStr">
        <is>
          <t>Diageo AR Note 11 p.129</t>
        </is>
      </c>
      <c r="D12" s="16" t="n">
        <v>100</v>
      </c>
      <c r="E12" s="16" t="n">
        <v>105</v>
      </c>
      <c r="F12" s="16" t="n">
        <v>120</v>
      </c>
      <c r="G12" s="16" t="n">
        <v>135</v>
      </c>
      <c r="H12" s="16" t="n">
        <v>140</v>
      </c>
      <c r="I12" s="16" t="n">
        <v>140</v>
      </c>
      <c r="J12" s="16" t="n">
        <v>140</v>
      </c>
      <c r="K12" s="16" t="n">
        <v>145</v>
      </c>
      <c r="L12" s="16" t="n">
        <v>145</v>
      </c>
      <c r="M12" s="16" t="n">
        <v>150</v>
      </c>
    </row>
    <row r="13" ht="15" customHeight="1">
      <c r="B13" s="4" t="inlineStr">
        <is>
          <t xml:space="preserve">  Less: ROU Depreciation</t>
        </is>
      </c>
      <c r="C13" s="15" t="inlineStr">
        <is>
          <t>Diageo AR Note 11 p.129</t>
        </is>
      </c>
      <c r="D13" s="16" t="n">
        <v>130</v>
      </c>
      <c r="E13" s="16" t="n">
        <v>135</v>
      </c>
      <c r="F13" s="16" t="n">
        <v>140</v>
      </c>
      <c r="G13" s="16" t="n">
        <v>145</v>
      </c>
      <c r="H13" s="16" t="n">
        <v>150</v>
      </c>
      <c r="I13" s="16" t="n">
        <v>155</v>
      </c>
      <c r="J13" s="16" t="n">
        <v>160</v>
      </c>
      <c r="K13" s="16" t="n">
        <v>165</v>
      </c>
      <c r="L13" s="16" t="n">
        <v>170</v>
      </c>
      <c r="M13" s="16" t="n">
        <v>175</v>
      </c>
    </row>
    <row r="14" ht="15" customHeight="1">
      <c r="B14" s="35" t="inlineStr">
        <is>
          <t>Closing ROU Asset</t>
        </is>
      </c>
      <c r="C14" s="49" t="n"/>
      <c r="D14" s="50">
        <f>D11+D12-D13</f>
        <v/>
      </c>
      <c r="E14" s="50">
        <f>E11+E12-E13</f>
        <v/>
      </c>
      <c r="F14" s="50">
        <f>F11+F12-F13</f>
        <v/>
      </c>
      <c r="G14" s="50">
        <f>G11+G12-G13</f>
        <v/>
      </c>
      <c r="H14" s="50">
        <f>H11+H12-H13</f>
        <v/>
      </c>
      <c r="I14" s="50">
        <f>I11+I12-I13</f>
        <v/>
      </c>
      <c r="J14" s="50">
        <f>J11+J12-J13</f>
        <v/>
      </c>
      <c r="K14" s="50">
        <f>K11+K12-K13</f>
        <v/>
      </c>
      <c r="L14" s="50">
        <f>L11+L12-L13</f>
        <v/>
      </c>
      <c r="M14" s="50">
        <f>M11+M12-M13</f>
        <v/>
      </c>
    </row>
    <row r="16" ht="15" customHeight="1">
      <c r="B16" s="13" t="inlineStr">
        <is>
          <t>Goodwill, Brands &amp; Intangibles</t>
        </is>
      </c>
    </row>
    <row r="17" ht="15" customHeight="1">
      <c r="B17" s="4" t="inlineStr">
        <is>
          <t>Goodwill &amp; Brands (£m)</t>
        </is>
      </c>
      <c r="C17" s="15" t="inlineStr">
        <is>
          <t>Diageo AR Note 9 p.124 (no amort, IFRS)</t>
        </is>
      </c>
      <c r="D17" s="16" t="n">
        <v>16200</v>
      </c>
      <c r="E17" s="16" t="n">
        <v>16550</v>
      </c>
      <c r="F17" s="16" t="n">
        <v>17100</v>
      </c>
      <c r="G17" s="16" t="n">
        <v>17550</v>
      </c>
      <c r="H17" s="16" t="n">
        <v>17800</v>
      </c>
      <c r="I17" s="16" t="n">
        <v>17800</v>
      </c>
      <c r="J17" s="16" t="n">
        <v>17800</v>
      </c>
      <c r="K17" s="16" t="n">
        <v>17800</v>
      </c>
      <c r="L17" s="16" t="n">
        <v>17800</v>
      </c>
      <c r="M17" s="16" t="n">
        <v>17800</v>
      </c>
    </row>
    <row r="18" ht="15" customHeight="1">
      <c r="B18" s="4" t="inlineStr">
        <is>
          <t>Intangible Amortisation (finite life)</t>
        </is>
      </c>
      <c r="C18" s="15" t="inlineStr">
        <is>
          <t>Note 9; software + licences</t>
        </is>
      </c>
      <c r="D18" s="16" t="n">
        <v>130</v>
      </c>
      <c r="E18" s="16" t="n">
        <v>135</v>
      </c>
      <c r="F18" s="16" t="n">
        <v>160</v>
      </c>
      <c r="G18" s="16" t="n">
        <v>185</v>
      </c>
      <c r="H18" s="16" t="n">
        <v>180</v>
      </c>
      <c r="I18" s="16" t="n">
        <v>185</v>
      </c>
      <c r="J18" s="16" t="n">
        <v>190</v>
      </c>
      <c r="K18" s="16" t="n">
        <v>195</v>
      </c>
      <c r="L18" s="16" t="n">
        <v>190</v>
      </c>
      <c r="M18" s="16" t="n">
        <v>185</v>
      </c>
    </row>
    <row r="20" ht="15" customHeight="1">
      <c r="B20" s="13" t="inlineStr">
        <is>
          <t>Summary</t>
        </is>
      </c>
    </row>
    <row r="21" ht="15" customHeight="1">
      <c r="B21" s="27" t="inlineStr">
        <is>
          <t>Total D&amp;A</t>
        </is>
      </c>
      <c r="C21" s="28" t="n"/>
      <c r="D21" s="40">
        <f>D7+D13+D18</f>
        <v/>
      </c>
      <c r="E21" s="40">
        <f>E7+E13+E18</f>
        <v/>
      </c>
      <c r="F21" s="40">
        <f>F7+F13+F18</f>
        <v/>
      </c>
      <c r="G21" s="40">
        <f>G7+G13+G18</f>
        <v/>
      </c>
      <c r="H21" s="40">
        <f>H7+H13+H18</f>
        <v/>
      </c>
      <c r="I21" s="40">
        <f>I7+I13+I18</f>
        <v/>
      </c>
      <c r="J21" s="40">
        <f>J7+J13+J18</f>
        <v/>
      </c>
      <c r="K21" s="40">
        <f>K7+K13+K18</f>
        <v/>
      </c>
      <c r="L21" s="40">
        <f>L7+L13+L18</f>
        <v/>
      </c>
      <c r="M21" s="40">
        <f>M7+M13+M18</f>
        <v/>
      </c>
    </row>
    <row r="22" ht="15" customHeight="1">
      <c r="B22" s="4" t="inlineStr">
        <is>
          <t>Total Capex</t>
        </is>
      </c>
      <c r="C22" s="15" t="inlineStr">
        <is>
          <t>Capex additions above</t>
        </is>
      </c>
      <c r="D22" s="17">
        <f>D6</f>
        <v/>
      </c>
      <c r="E22" s="17">
        <f>E6</f>
        <v/>
      </c>
      <c r="F22" s="17">
        <f>F6</f>
        <v/>
      </c>
      <c r="G22" s="17">
        <f>G6</f>
        <v/>
      </c>
      <c r="H22" s="17">
        <f>H6</f>
        <v/>
      </c>
      <c r="I22" s="17">
        <f>I6</f>
        <v/>
      </c>
      <c r="J22" s="17">
        <f>J6</f>
        <v/>
      </c>
      <c r="K22" s="17">
        <f>K6</f>
        <v/>
      </c>
      <c r="L22" s="17">
        <f>L6</f>
        <v/>
      </c>
      <c r="M22" s="17">
        <f>M6</f>
        <v/>
      </c>
    </row>
    <row r="23" ht="15" customHeight="1">
      <c r="B23" s="18" t="inlineStr">
        <is>
          <t xml:space="preserve">  Capex / Revenue %</t>
        </is>
      </c>
      <c r="D23" s="20">
        <f>D6/'Income Statement'!D7</f>
        <v/>
      </c>
      <c r="E23" s="20">
        <f>E6/'Income Statement'!E7</f>
        <v/>
      </c>
      <c r="F23" s="20">
        <f>F6/'Income Statement'!F7</f>
        <v/>
      </c>
      <c r="G23" s="20">
        <f>G6/'Income Statement'!G7</f>
        <v/>
      </c>
      <c r="H23" s="20">
        <f>H6/'Income Statement'!H7</f>
        <v/>
      </c>
      <c r="I23" s="20">
        <f>I6/'Income Statement'!I7</f>
        <v/>
      </c>
      <c r="J23" s="20">
        <f>J6/'Income Statement'!J7</f>
        <v/>
      </c>
      <c r="K23" s="20">
        <f>K6/'Income Statement'!K7</f>
        <v/>
      </c>
      <c r="L23" s="20">
        <f>L6/'Income Statement'!L7</f>
        <v/>
      </c>
      <c r="M23" s="20">
        <f>M6/'Income Statement'!M7</f>
        <v/>
      </c>
    </row>
  </sheetData>
  <mergeCells count="5">
    <mergeCell ref="B16:M16"/>
    <mergeCell ref="B10:M10"/>
    <mergeCell ref="B20:M20"/>
    <mergeCell ref="B1:M1"/>
    <mergeCell ref="B4:M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M27"/>
  <sheetViews>
    <sheetView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22" customHeight="1">
      <c r="B1" s="10" t="inlineStr">
        <is>
          <t>DEBT &amp; INTEREST SCHEDULE   (£m)</t>
        </is>
      </c>
    </row>
    <row r="2" ht="16" customHeight="1">
      <c r="D2" s="11" t="inlineStr">
        <is>
          <t>FY2020A</t>
        </is>
      </c>
      <c r="E2" s="11" t="inlineStr">
        <is>
          <t>FY2021A</t>
        </is>
      </c>
      <c r="F2" s="11" t="inlineStr">
        <is>
          <t>FY2022A</t>
        </is>
      </c>
      <c r="G2" s="11" t="inlineStr">
        <is>
          <t>FY2023A</t>
        </is>
      </c>
      <c r="H2" s="11" t="inlineStr">
        <is>
          <t>FY2024A</t>
        </is>
      </c>
      <c r="I2" s="12" t="inlineStr">
        <is>
          <t>FY2025E</t>
        </is>
      </c>
      <c r="J2" s="12" t="inlineStr">
        <is>
          <t>FY2026E</t>
        </is>
      </c>
      <c r="K2" s="12" t="inlineStr">
        <is>
          <t>FY2027E</t>
        </is>
      </c>
      <c r="L2" s="12" t="inlineStr">
        <is>
          <t>FY2028E</t>
        </is>
      </c>
      <c r="M2" s="12" t="inlineStr">
        <is>
          <t>FY2029E</t>
        </is>
      </c>
    </row>
    <row r="4" ht="15" customHeight="1">
      <c r="B4" s="13" t="inlineStr">
        <is>
          <t>Bond / Drawn Debt Rollforward</t>
        </is>
      </c>
    </row>
    <row r="5" ht="15" customHeight="1">
      <c r="B5" s="14" t="inlineStr">
        <is>
          <t>Opening Drawn Debt</t>
        </is>
      </c>
      <c r="C5" s="15" t="inlineStr">
        <is>
          <t>Diageo AR FY20</t>
        </is>
      </c>
      <c r="D5" s="16" t="n">
        <v>13500</v>
      </c>
      <c r="E5" s="17">
        <f>D7</f>
        <v/>
      </c>
      <c r="F5" s="17">
        <f>E7</f>
        <v/>
      </c>
      <c r="G5" s="17">
        <f>F7</f>
        <v/>
      </c>
      <c r="H5" s="17">
        <f>G7</f>
        <v/>
      </c>
      <c r="I5" s="17">
        <f>H7</f>
        <v/>
      </c>
      <c r="J5" s="17">
        <f>I7</f>
        <v/>
      </c>
      <c r="K5" s="17">
        <f>J7</f>
        <v/>
      </c>
      <c r="L5" s="17">
        <f>K7</f>
        <v/>
      </c>
      <c r="M5" s="17">
        <f>L7</f>
        <v/>
      </c>
    </row>
    <row r="6" ht="15" customHeight="1">
      <c r="B6" s="4" t="inlineStr">
        <is>
          <t xml:space="preserve">  Net Repayments / (Issuance)</t>
        </is>
      </c>
      <c r="C6" s="15" t="inlineStr">
        <is>
          <t>Deleveraging £400-500m/yr</t>
        </is>
      </c>
      <c r="D6" s="16" t="n">
        <v>0</v>
      </c>
      <c r="E6" s="16" t="n">
        <v>-700</v>
      </c>
      <c r="F6" s="16" t="n">
        <v>-1800</v>
      </c>
      <c r="G6" s="16" t="n">
        <v>-900</v>
      </c>
      <c r="H6" s="16" t="n">
        <v>0</v>
      </c>
      <c r="I6" s="16" t="n">
        <v>400</v>
      </c>
      <c r="J6" s="16" t="n">
        <v>400</v>
      </c>
      <c r="K6" s="16" t="n">
        <v>500</v>
      </c>
      <c r="L6" s="16" t="n">
        <v>500</v>
      </c>
      <c r="M6" s="16" t="n">
        <v>500</v>
      </c>
    </row>
    <row r="7" ht="15" customHeight="1">
      <c r="B7" s="35" t="inlineStr">
        <is>
          <t>Closing Drawn Debt</t>
        </is>
      </c>
      <c r="C7" s="49" t="n"/>
      <c r="D7" s="50">
        <f>D5-D6</f>
        <v/>
      </c>
      <c r="E7" s="50">
        <f>E5-E6</f>
        <v/>
      </c>
      <c r="F7" s="50">
        <f>F5-F6</f>
        <v/>
      </c>
      <c r="G7" s="50">
        <f>G5-G6</f>
        <v/>
      </c>
      <c r="H7" s="50">
        <f>H5-H6</f>
        <v/>
      </c>
      <c r="I7" s="50">
        <f>I5-I6</f>
        <v/>
      </c>
      <c r="J7" s="50">
        <f>J5-J6</f>
        <v/>
      </c>
      <c r="K7" s="50">
        <f>K5-K6</f>
        <v/>
      </c>
      <c r="L7" s="50">
        <f>L5-L6</f>
        <v/>
      </c>
      <c r="M7" s="50">
        <f>M5-M6</f>
        <v/>
      </c>
    </row>
    <row r="8" ht="15" customHeight="1">
      <c r="B8" s="4" t="inlineStr">
        <is>
          <t>Blended Coupon Rate</t>
        </is>
      </c>
      <c r="C8" s="15" t="inlineStr">
        <is>
          <t>Bloomberg DGE bond curves; IG credit</t>
        </is>
      </c>
      <c r="D8" s="19" t="n">
        <v>0.03</v>
      </c>
      <c r="E8" s="19" t="n">
        <v>0.03</v>
      </c>
      <c r="F8" s="19" t="n">
        <v>0.03</v>
      </c>
      <c r="G8" s="19" t="n">
        <v>0.03</v>
      </c>
      <c r="H8" s="19" t="n">
        <v>0.03</v>
      </c>
      <c r="I8" s="19" t="n">
        <v>0.03</v>
      </c>
      <c r="J8" s="19" t="n">
        <v>0.03</v>
      </c>
      <c r="K8" s="19" t="n">
        <v>0.03</v>
      </c>
      <c r="L8" s="19" t="n">
        <v>0.03</v>
      </c>
      <c r="M8" s="19" t="n">
        <v>0.03</v>
      </c>
    </row>
    <row r="9" ht="15" customHeight="1">
      <c r="B9" s="4" t="inlineStr">
        <is>
          <t>Cash Interest on Debt</t>
        </is>
      </c>
      <c r="D9" s="17">
        <f>(D5+D7)/2*D8</f>
        <v/>
      </c>
      <c r="E9" s="17">
        <f>(E5+E7)/2*E8</f>
        <v/>
      </c>
      <c r="F9" s="17">
        <f>(F5+F7)/2*F8</f>
        <v/>
      </c>
      <c r="G9" s="17">
        <f>(G5+G7)/2*G8</f>
        <v/>
      </c>
      <c r="H9" s="17">
        <f>(H5+H7)/2*H8</f>
        <v/>
      </c>
      <c r="I9" s="17">
        <f>(I5+I7)/2*I8</f>
        <v/>
      </c>
      <c r="J9" s="17">
        <f>(J5+J7)/2*J8</f>
        <v/>
      </c>
      <c r="K9" s="17">
        <f>(K5+K7)/2*K8</f>
        <v/>
      </c>
      <c r="L9" s="17">
        <f>(L5+L7)/2*L8</f>
        <v/>
      </c>
      <c r="M9" s="17">
        <f>(M5+M7)/2*M8</f>
        <v/>
      </c>
    </row>
    <row r="11" ht="15" customHeight="1">
      <c r="B11" s="13" t="inlineStr">
        <is>
          <t>Lease Liabilities (IFRS 16)</t>
        </is>
      </c>
    </row>
    <row r="12" ht="15" customHeight="1">
      <c r="B12" s="14" t="inlineStr">
        <is>
          <t>Opening Lease Liabilities</t>
        </is>
      </c>
      <c r="C12" s="15" t="inlineStr">
        <is>
          <t>Diageo AR FY20</t>
        </is>
      </c>
      <c r="D12" s="16" t="n">
        <v>800</v>
      </c>
      <c r="E12" s="17">
        <f>D15</f>
        <v/>
      </c>
      <c r="F12" s="17">
        <f>E15</f>
        <v/>
      </c>
      <c r="G12" s="17">
        <f>F15</f>
        <v/>
      </c>
      <c r="H12" s="17">
        <f>G15</f>
        <v/>
      </c>
      <c r="I12" s="17">
        <f>H15</f>
        <v/>
      </c>
      <c r="J12" s="17">
        <f>I15</f>
        <v/>
      </c>
      <c r="K12" s="17">
        <f>J15</f>
        <v/>
      </c>
      <c r="L12" s="17">
        <f>K15</f>
        <v/>
      </c>
      <c r="M12" s="17">
        <f>L15</f>
        <v/>
      </c>
    </row>
    <row r="13" ht="15" customHeight="1">
      <c r="B13" s="4" t="inlineStr">
        <is>
          <t xml:space="preserve">  New Leases</t>
        </is>
      </c>
      <c r="C13" s="15" t="inlineStr">
        <is>
          <t>Note 11 p.129</t>
        </is>
      </c>
      <c r="D13" s="16" t="n">
        <v>95</v>
      </c>
      <c r="E13" s="16" t="n">
        <v>105</v>
      </c>
      <c r="F13" s="16" t="n">
        <v>120</v>
      </c>
      <c r="G13" s="16" t="n">
        <v>135</v>
      </c>
      <c r="H13" s="16" t="n">
        <v>140</v>
      </c>
      <c r="I13" s="16" t="n">
        <v>140</v>
      </c>
      <c r="J13" s="16" t="n">
        <v>140</v>
      </c>
      <c r="K13" s="16" t="n">
        <v>145</v>
      </c>
      <c r="L13" s="16" t="n">
        <v>145</v>
      </c>
      <c r="M13" s="16" t="n">
        <v>150</v>
      </c>
    </row>
    <row r="14" ht="15" customHeight="1">
      <c r="B14" s="4" t="inlineStr">
        <is>
          <t xml:space="preserve">  Less: Lease Principal Payments</t>
        </is>
      </c>
      <c r="C14" s="15" t="inlineStr">
        <is>
          <t>CFS lease repayments</t>
        </is>
      </c>
      <c r="D14" s="16" t="n">
        <v>120</v>
      </c>
      <c r="E14" s="16" t="n">
        <v>130</v>
      </c>
      <c r="F14" s="16" t="n">
        <v>135</v>
      </c>
      <c r="G14" s="16" t="n">
        <v>140</v>
      </c>
      <c r="H14" s="16" t="n">
        <v>145</v>
      </c>
      <c r="I14" s="16" t="n">
        <v>155</v>
      </c>
      <c r="J14" s="16" t="n">
        <v>160</v>
      </c>
      <c r="K14" s="16" t="n">
        <v>165</v>
      </c>
      <c r="L14" s="16" t="n">
        <v>170</v>
      </c>
      <c r="M14" s="16" t="n">
        <v>175</v>
      </c>
    </row>
    <row r="15" ht="15" customHeight="1">
      <c r="B15" s="35" t="inlineStr">
        <is>
          <t>Closing Lease Liabilities</t>
        </is>
      </c>
      <c r="C15" s="49" t="n"/>
      <c r="D15" s="50">
        <f>D12+D13-D14</f>
        <v/>
      </c>
      <c r="E15" s="50">
        <f>E12+E13-E14</f>
        <v/>
      </c>
      <c r="F15" s="50">
        <f>F12+F13-F14</f>
        <v/>
      </c>
      <c r="G15" s="50">
        <f>G12+G13-G14</f>
        <v/>
      </c>
      <c r="H15" s="50">
        <f>H12+H13-H14</f>
        <v/>
      </c>
      <c r="I15" s="50">
        <f>I12+I13-I14</f>
        <v/>
      </c>
      <c r="J15" s="50">
        <f>J12+J13-J14</f>
        <v/>
      </c>
      <c r="K15" s="50">
        <f>K12+K13-K14</f>
        <v/>
      </c>
      <c r="L15" s="50">
        <f>L12+L13-L14</f>
        <v/>
      </c>
      <c r="M15" s="50">
        <f>M12+M13-M14</f>
        <v/>
      </c>
    </row>
    <row r="16" ht="15" customHeight="1">
      <c r="B16" s="4" t="inlineStr">
        <is>
          <t>Implied Lease Rate</t>
        </is>
      </c>
      <c r="C16" s="15" t="inlineStr">
        <is>
          <t>Blended incremental borrowing rate</t>
        </is>
      </c>
      <c r="D16" s="19" t="n">
        <v>0.05</v>
      </c>
      <c r="E16" s="19" t="n">
        <v>0.05</v>
      </c>
      <c r="F16" s="19" t="n">
        <v>0.05</v>
      </c>
      <c r="G16" s="19" t="n">
        <v>0.05</v>
      </c>
      <c r="H16" s="19" t="n">
        <v>0.05</v>
      </c>
      <c r="I16" s="19" t="n">
        <v>0.05</v>
      </c>
      <c r="J16" s="19" t="n">
        <v>0.05</v>
      </c>
      <c r="K16" s="19" t="n">
        <v>0.05</v>
      </c>
      <c r="L16" s="19" t="n">
        <v>0.05</v>
      </c>
      <c r="M16" s="19" t="n">
        <v>0.05</v>
      </c>
    </row>
    <row r="17" ht="15" customHeight="1">
      <c r="B17" s="4" t="inlineStr">
        <is>
          <t>Interest on Leases</t>
        </is>
      </c>
      <c r="D17" s="17">
        <f>(D12+D15)/2*D16</f>
        <v/>
      </c>
      <c r="E17" s="17">
        <f>(E12+E15)/2*E16</f>
        <v/>
      </c>
      <c r="F17" s="17">
        <f>(F12+F15)/2*F16</f>
        <v/>
      </c>
      <c r="G17" s="17">
        <f>(G12+G15)/2*G16</f>
        <v/>
      </c>
      <c r="H17" s="17">
        <f>(H12+H15)/2*H16</f>
        <v/>
      </c>
      <c r="I17" s="17">
        <f>(I12+I15)/2*I16</f>
        <v/>
      </c>
      <c r="J17" s="17">
        <f>(J12+J15)/2*J16</f>
        <v/>
      </c>
      <c r="K17" s="17">
        <f>(K12+K15)/2*K16</f>
        <v/>
      </c>
      <c r="L17" s="17">
        <f>(L12+L15)/2*L16</f>
        <v/>
      </c>
      <c r="M17" s="17">
        <f>(M12+M15)/2*M16</f>
        <v/>
      </c>
    </row>
    <row r="19" ht="15" customHeight="1">
      <c r="B19" s="13" t="inlineStr">
        <is>
          <t>Finance Charge Summary</t>
        </is>
      </c>
    </row>
    <row r="20" ht="15" customHeight="1">
      <c r="B20" s="30" t="inlineStr">
        <is>
          <t>Total Finance Charges</t>
        </is>
      </c>
      <c r="C20" s="32" t="n"/>
      <c r="D20" s="44">
        <f>D9+D17</f>
        <v/>
      </c>
      <c r="E20" s="44">
        <f>E9+E17</f>
        <v/>
      </c>
      <c r="F20" s="44">
        <f>F9+F17</f>
        <v/>
      </c>
      <c r="G20" s="44">
        <f>G9+G17</f>
        <v/>
      </c>
      <c r="H20" s="44">
        <f>H9+H17</f>
        <v/>
      </c>
      <c r="I20" s="44">
        <f>I9+I17</f>
        <v/>
      </c>
      <c r="J20" s="44">
        <f>J9+J17</f>
        <v/>
      </c>
      <c r="K20" s="44">
        <f>K9+K17</f>
        <v/>
      </c>
      <c r="L20" s="44">
        <f>L9+L17</f>
        <v/>
      </c>
      <c r="M20" s="44">
        <f>M9+M17</f>
        <v/>
      </c>
    </row>
    <row r="22" ht="15" customHeight="1">
      <c r="B22" s="13" t="inlineStr">
        <is>
          <t>Net Debt Bridge</t>
        </is>
      </c>
    </row>
    <row r="23" ht="15" customHeight="1">
      <c r="B23" s="4" t="inlineStr">
        <is>
          <t>Cash &amp; Equivalents</t>
        </is>
      </c>
      <c r="C23" s="15" t="inlineStr">
        <is>
          <t>From Balance Sheet</t>
        </is>
      </c>
      <c r="D23" s="16" t="n">
        <v>2900</v>
      </c>
      <c r="E23" s="16" t="n">
        <v>2600</v>
      </c>
      <c r="F23" s="16" t="n">
        <v>2400</v>
      </c>
      <c r="G23" s="16" t="n">
        <v>2300</v>
      </c>
      <c r="H23" s="16" t="n">
        <v>2100</v>
      </c>
      <c r="I23" s="34">
        <f>'Balance Sheet'!I5</f>
        <v/>
      </c>
      <c r="J23" s="34">
        <f>'Balance Sheet'!J5</f>
        <v/>
      </c>
      <c r="K23" s="34">
        <f>'Balance Sheet'!K5</f>
        <v/>
      </c>
      <c r="L23" s="34">
        <f>'Balance Sheet'!L5</f>
        <v/>
      </c>
      <c r="M23" s="34">
        <f>'Balance Sheet'!M5</f>
        <v/>
      </c>
    </row>
    <row r="24" ht="15" customHeight="1">
      <c r="B24" s="4" t="inlineStr">
        <is>
          <t>Gross Drawn Debt</t>
        </is>
      </c>
      <c r="D24" s="17">
        <f>D7</f>
        <v/>
      </c>
      <c r="E24" s="17">
        <f>E7</f>
        <v/>
      </c>
      <c r="F24" s="17">
        <f>F7</f>
        <v/>
      </c>
      <c r="G24" s="17">
        <f>G7</f>
        <v/>
      </c>
      <c r="H24" s="17">
        <f>H7</f>
        <v/>
      </c>
      <c r="I24" s="17">
        <f>I7</f>
        <v/>
      </c>
      <c r="J24" s="17">
        <f>J7</f>
        <v/>
      </c>
      <c r="K24" s="17">
        <f>K7</f>
        <v/>
      </c>
      <c r="L24" s="17">
        <f>L7</f>
        <v/>
      </c>
      <c r="M24" s="17">
        <f>M7</f>
        <v/>
      </c>
    </row>
    <row r="25" ht="15" customHeight="1">
      <c r="B25" s="4" t="inlineStr">
        <is>
          <t>Gross Lease Liabilities</t>
        </is>
      </c>
      <c r="D25" s="17">
        <f>D15</f>
        <v/>
      </c>
      <c r="E25" s="17">
        <f>E15</f>
        <v/>
      </c>
      <c r="F25" s="17">
        <f>F15</f>
        <v/>
      </c>
      <c r="G25" s="17">
        <f>G15</f>
        <v/>
      </c>
      <c r="H25" s="17">
        <f>H15</f>
        <v/>
      </c>
      <c r="I25" s="17">
        <f>I15</f>
        <v/>
      </c>
      <c r="J25" s="17">
        <f>J15</f>
        <v/>
      </c>
      <c r="K25" s="17">
        <f>K15</f>
        <v/>
      </c>
      <c r="L25" s="17">
        <f>L15</f>
        <v/>
      </c>
      <c r="M25" s="17">
        <f>M15</f>
        <v/>
      </c>
    </row>
    <row r="26" ht="15" customHeight="1">
      <c r="B26" s="30" t="inlineStr">
        <is>
          <t>Net Debt (exc. leases)</t>
        </is>
      </c>
      <c r="C26" s="32" t="n"/>
      <c r="D26" s="44">
        <f>D24-D23</f>
        <v/>
      </c>
      <c r="E26" s="44">
        <f>E24-E23</f>
        <v/>
      </c>
      <c r="F26" s="44">
        <f>F24-F23</f>
        <v/>
      </c>
      <c r="G26" s="44">
        <f>G24-G23</f>
        <v/>
      </c>
      <c r="H26" s="44">
        <f>H24-H23</f>
        <v/>
      </c>
      <c r="I26" s="44">
        <f>I24-I23</f>
        <v/>
      </c>
      <c r="J26" s="44">
        <f>J24-J23</f>
        <v/>
      </c>
      <c r="K26" s="44">
        <f>K24-K23</f>
        <v/>
      </c>
      <c r="L26" s="44">
        <f>L24-L23</f>
        <v/>
      </c>
      <c r="M26" s="44">
        <f>M24-M23</f>
        <v/>
      </c>
    </row>
    <row r="27" ht="15" customHeight="1">
      <c r="B27" s="45" t="inlineStr">
        <is>
          <t>Net Debt (inc. leases)</t>
        </is>
      </c>
      <c r="C27" s="51" t="n"/>
      <c r="D27" s="48">
        <f>D24+D25-D23</f>
        <v/>
      </c>
      <c r="E27" s="48">
        <f>E24+E25-E23</f>
        <v/>
      </c>
      <c r="F27" s="48">
        <f>F24+F25-F23</f>
        <v/>
      </c>
      <c r="G27" s="48">
        <f>G24+G25-G23</f>
        <v/>
      </c>
      <c r="H27" s="48">
        <f>H24+H25-H23</f>
        <v/>
      </c>
      <c r="I27" s="48">
        <f>I24+I25-I23</f>
        <v/>
      </c>
      <c r="J27" s="48">
        <f>J24+J25-J23</f>
        <v/>
      </c>
      <c r="K27" s="48">
        <f>K24+K25-K23</f>
        <v/>
      </c>
      <c r="L27" s="48">
        <f>L24+L25-L23</f>
        <v/>
      </c>
      <c r="M27" s="48">
        <f>M24+M25-M23</f>
        <v/>
      </c>
    </row>
  </sheetData>
  <mergeCells count="5">
    <mergeCell ref="B11:M11"/>
    <mergeCell ref="B19:M19"/>
    <mergeCell ref="B22:M22"/>
    <mergeCell ref="B1:M1"/>
    <mergeCell ref="B4:M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M18"/>
  <sheetViews>
    <sheetView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22" customHeight="1">
      <c r="B1" s="10" t="inlineStr">
        <is>
          <t>DIVIDEND &amp; BUYBACK SCHEDULE   (£m unless stated)</t>
        </is>
      </c>
    </row>
    <row r="2" ht="16" customHeight="1">
      <c r="D2" s="11" t="inlineStr">
        <is>
          <t>FY2020A</t>
        </is>
      </c>
      <c r="E2" s="11" t="inlineStr">
        <is>
          <t>FY2021A</t>
        </is>
      </c>
      <c r="F2" s="11" t="inlineStr">
        <is>
          <t>FY2022A</t>
        </is>
      </c>
      <c r="G2" s="11" t="inlineStr">
        <is>
          <t>FY2023A</t>
        </is>
      </c>
      <c r="H2" s="11" t="inlineStr">
        <is>
          <t>FY2024A</t>
        </is>
      </c>
      <c r="I2" s="12" t="inlineStr">
        <is>
          <t>FY2025E</t>
        </is>
      </c>
      <c r="J2" s="12" t="inlineStr">
        <is>
          <t>FY2026E</t>
        </is>
      </c>
      <c r="K2" s="12" t="inlineStr">
        <is>
          <t>FY2027E</t>
        </is>
      </c>
      <c r="L2" s="12" t="inlineStr">
        <is>
          <t>FY2028E</t>
        </is>
      </c>
      <c r="M2" s="12" t="inlineStr">
        <is>
          <t>FY2029E</t>
        </is>
      </c>
    </row>
    <row r="4" ht="15" customHeight="1">
      <c r="B4" s="13" t="inlineStr">
        <is>
          <t>Share Count Rollforward</t>
        </is>
      </c>
    </row>
    <row r="5" ht="15" customHeight="1">
      <c r="B5" s="14" t="inlineStr">
        <is>
          <t>Opening Shares (m)</t>
        </is>
      </c>
      <c r="C5" s="15" t="inlineStr">
        <is>
          <t>Diageo AR FY20</t>
        </is>
      </c>
      <c r="D5" s="16" t="n">
        <v>2358</v>
      </c>
      <c r="E5" s="17">
        <f>D7</f>
        <v/>
      </c>
      <c r="F5" s="17">
        <f>E7</f>
        <v/>
      </c>
      <c r="G5" s="17">
        <f>F7</f>
        <v/>
      </c>
      <c r="H5" s="17">
        <f>G7</f>
        <v/>
      </c>
      <c r="I5" s="17">
        <f>H7</f>
        <v/>
      </c>
      <c r="J5" s="17">
        <f>I7</f>
        <v/>
      </c>
      <c r="K5" s="17">
        <f>J7</f>
        <v/>
      </c>
      <c r="L5" s="17">
        <f>K7</f>
        <v/>
      </c>
      <c r="M5" s="17">
        <f>L7</f>
        <v/>
      </c>
    </row>
    <row r="6" ht="15" customHeight="1">
      <c r="B6" s="4" t="inlineStr">
        <is>
          <t xml:space="preserve">  Buyback (shares retired, m)</t>
        </is>
      </c>
      <c r="C6" s="15" t="inlineStr">
        <is>
          <t>BB £m / avg £25/share</t>
        </is>
      </c>
      <c r="D6" s="16" t="n">
        <v>20</v>
      </c>
      <c r="E6" s="16" t="n">
        <v>24</v>
      </c>
      <c r="F6" s="16" t="n">
        <v>40</v>
      </c>
      <c r="G6" s="16" t="n">
        <v>50</v>
      </c>
      <c r="H6" s="16" t="n">
        <v>40</v>
      </c>
      <c r="I6" s="17">
        <f>ROUND('Assumptions'!I40/25,0)</f>
        <v/>
      </c>
      <c r="J6" s="17">
        <f>ROUND('Assumptions'!J40/25,0)</f>
        <v/>
      </c>
      <c r="K6" s="17">
        <f>ROUND('Assumptions'!K40/25,0)</f>
        <v/>
      </c>
      <c r="L6" s="17">
        <f>ROUND('Assumptions'!L40/25,0)</f>
        <v/>
      </c>
      <c r="M6" s="17">
        <f>ROUND('Assumptions'!M40/25,0)</f>
        <v/>
      </c>
    </row>
    <row r="7" ht="15" customHeight="1">
      <c r="B7" s="35" t="inlineStr">
        <is>
          <t>Closing Shares (m)</t>
        </is>
      </c>
      <c r="C7" s="49" t="n"/>
      <c r="D7" s="50">
        <f>D5-D6</f>
        <v/>
      </c>
      <c r="E7" s="50">
        <f>E5-E6</f>
        <v/>
      </c>
      <c r="F7" s="50">
        <f>F5-F6</f>
        <v/>
      </c>
      <c r="G7" s="50">
        <f>G5-G6</f>
        <v/>
      </c>
      <c r="H7" s="50">
        <f>H5-H6</f>
        <v/>
      </c>
      <c r="I7" s="50">
        <f>I5-I6</f>
        <v/>
      </c>
      <c r="J7" s="50">
        <f>J5-J6</f>
        <v/>
      </c>
      <c r="K7" s="50">
        <f>K5-K6</f>
        <v/>
      </c>
      <c r="L7" s="50">
        <f>L5-L6</f>
        <v/>
      </c>
      <c r="M7" s="50">
        <f>M5-M6</f>
        <v/>
      </c>
    </row>
    <row r="8" ht="15" customHeight="1">
      <c r="B8" s="30" t="inlineStr">
        <is>
          <t>Weighted Avg Diluted (m)</t>
        </is>
      </c>
      <c r="C8" s="32" t="n"/>
      <c r="D8" s="44">
        <f>ROUND((D5+D7)/2,0)</f>
        <v/>
      </c>
      <c r="E8" s="44">
        <f>ROUND((E5+E7)/2,0)</f>
        <v/>
      </c>
      <c r="F8" s="44">
        <f>ROUND((F5+F7)/2,0)</f>
        <v/>
      </c>
      <c r="G8" s="44">
        <f>ROUND((G5+G7)/2,0)</f>
        <v/>
      </c>
      <c r="H8" s="44">
        <f>ROUND((H5+H7)/2,0)</f>
        <v/>
      </c>
      <c r="I8" s="44">
        <f>ROUND((I5+I7)/2,0)</f>
        <v/>
      </c>
      <c r="J8" s="44">
        <f>ROUND((J5+J7)/2,0)</f>
        <v/>
      </c>
      <c r="K8" s="44">
        <f>ROUND((K5+K7)/2,0)</f>
        <v/>
      </c>
      <c r="L8" s="44">
        <f>ROUND((L5+L7)/2,0)</f>
        <v/>
      </c>
      <c r="M8" s="44">
        <f>ROUND((M5+M7)/2,0)</f>
        <v/>
      </c>
    </row>
    <row r="10" ht="15" customHeight="1">
      <c r="B10" s="13" t="inlineStr">
        <is>
          <t>Dividend &amp; Buyback</t>
        </is>
      </c>
    </row>
    <row r="11" ht="15" customHeight="1">
      <c r="B11" s="14" t="inlineStr">
        <is>
          <t>DPS (pence)</t>
        </is>
      </c>
      <c r="C11" s="15" t="inlineStr">
        <is>
          <t>Diageo AR FY24 p.140</t>
        </is>
      </c>
      <c r="D11" s="26" t="n">
        <v>69.88</v>
      </c>
      <c r="E11" s="26" t="n">
        <v>72.55</v>
      </c>
      <c r="F11" s="26" t="n">
        <v>76.18000000000001</v>
      </c>
      <c r="G11" s="26" t="n">
        <v>80</v>
      </c>
      <c r="H11" s="26" t="n">
        <v>83.23999999999999</v>
      </c>
      <c r="I11" s="43">
        <f>H11*(1+'Assumptions'!I39)</f>
        <v/>
      </c>
      <c r="J11" s="43">
        <f>I11*(1+'Assumptions'!J39)</f>
        <v/>
      </c>
      <c r="K11" s="43">
        <f>J11*(1+'Assumptions'!K39)</f>
        <v/>
      </c>
      <c r="L11" s="43">
        <f>K11*(1+'Assumptions'!L39)</f>
        <v/>
      </c>
      <c r="M11" s="43">
        <f>L11*(1+'Assumptions'!M39)</f>
        <v/>
      </c>
    </row>
    <row r="12" ht="15" customHeight="1">
      <c r="B12" s="14" t="inlineStr">
        <is>
          <t>Total Dividend (£m)</t>
        </is>
      </c>
      <c r="D12" s="39">
        <f>ROUND(D11*D8/100,0)</f>
        <v/>
      </c>
      <c r="E12" s="39">
        <f>ROUND(E11*E8/100,0)</f>
        <v/>
      </c>
      <c r="F12" s="39">
        <f>ROUND(F11*F8/100,0)</f>
        <v/>
      </c>
      <c r="G12" s="39">
        <f>ROUND(G11*G8/100,0)</f>
        <v/>
      </c>
      <c r="H12" s="39">
        <f>ROUND(H11*H8/100,0)</f>
        <v/>
      </c>
      <c r="I12" s="39">
        <f>ROUND(I11*I8/100,0)</f>
        <v/>
      </c>
      <c r="J12" s="39">
        <f>ROUND(J11*J8/100,0)</f>
        <v/>
      </c>
      <c r="K12" s="39">
        <f>ROUND(K11*K8/100,0)</f>
        <v/>
      </c>
      <c r="L12" s="39">
        <f>ROUND(L11*L8/100,0)</f>
        <v/>
      </c>
      <c r="M12" s="39">
        <f>ROUND(M11*M8/100,0)</f>
        <v/>
      </c>
    </row>
    <row r="13" ht="15" customHeight="1">
      <c r="B13" s="4" t="inlineStr">
        <is>
          <t>Share Buyback (£m)</t>
        </is>
      </c>
      <c r="C13" s="15" t="inlineStr">
        <is>
          <t>From Assumptions</t>
        </is>
      </c>
      <c r="D13" s="16" t="n">
        <v>500</v>
      </c>
      <c r="E13" s="16" t="n">
        <v>600</v>
      </c>
      <c r="F13" s="16" t="n">
        <v>1000</v>
      </c>
      <c r="G13" s="16" t="n">
        <v>1250</v>
      </c>
      <c r="H13" s="16" t="n">
        <v>1000</v>
      </c>
      <c r="I13" s="34">
        <f>'Assumptions'!I40</f>
        <v/>
      </c>
      <c r="J13" s="34">
        <f>'Assumptions'!J40</f>
        <v/>
      </c>
      <c r="K13" s="34">
        <f>'Assumptions'!K40</f>
        <v/>
      </c>
      <c r="L13" s="34">
        <f>'Assumptions'!L40</f>
        <v/>
      </c>
      <c r="M13" s="34">
        <f>'Assumptions'!M40</f>
        <v/>
      </c>
    </row>
    <row r="14" ht="15" customHeight="1">
      <c r="B14" s="27" t="inlineStr">
        <is>
          <t>Total Capital Distribution</t>
        </is>
      </c>
      <c r="C14" s="28" t="n"/>
      <c r="D14" s="40">
        <f>D12+D13</f>
        <v/>
      </c>
      <c r="E14" s="40">
        <f>E12+E13</f>
        <v/>
      </c>
      <c r="F14" s="40">
        <f>F12+F13</f>
        <v/>
      </c>
      <c r="G14" s="40">
        <f>G12+G13</f>
        <v/>
      </c>
      <c r="H14" s="40">
        <f>H12+H13</f>
        <v/>
      </c>
      <c r="I14" s="40">
        <f>I12+I13</f>
        <v/>
      </c>
      <c r="J14" s="40">
        <f>J12+J13</f>
        <v/>
      </c>
      <c r="K14" s="40">
        <f>K12+K13</f>
        <v/>
      </c>
      <c r="L14" s="40">
        <f>L12+L13</f>
        <v/>
      </c>
      <c r="M14" s="40">
        <f>M12+M13</f>
        <v/>
      </c>
    </row>
    <row r="16" ht="15" customHeight="1">
      <c r="B16" s="13" t="inlineStr">
        <is>
          <t>Return Metrics</t>
        </is>
      </c>
    </row>
    <row r="17" ht="15" customHeight="1">
      <c r="B17" s="4" t="inlineStr">
        <is>
          <t>Payout Ratio (Div/PAT)</t>
        </is>
      </c>
      <c r="D17" s="20">
        <f>D12/'Income Statement'!D22</f>
        <v/>
      </c>
      <c r="E17" s="20">
        <f>E12/'Income Statement'!E22</f>
        <v/>
      </c>
      <c r="F17" s="20">
        <f>F12/'Income Statement'!F22</f>
        <v/>
      </c>
      <c r="G17" s="20">
        <f>G12/'Income Statement'!G22</f>
        <v/>
      </c>
      <c r="H17" s="20">
        <f>H12/'Income Statement'!H22</f>
        <v/>
      </c>
      <c r="I17" s="20">
        <f>I12/'Income Statement'!I22</f>
        <v/>
      </c>
      <c r="J17" s="20">
        <f>J12/'Income Statement'!J22</f>
        <v/>
      </c>
      <c r="K17" s="20">
        <f>K12/'Income Statement'!K22</f>
        <v/>
      </c>
      <c r="L17" s="20">
        <f>L12/'Income Statement'!L22</f>
        <v/>
      </c>
      <c r="M17" s="20">
        <f>M12/'Income Statement'!M22</f>
        <v/>
      </c>
    </row>
    <row r="18" ht="15" customHeight="1">
      <c r="B18" s="4" t="inlineStr">
        <is>
          <t>Dividend Yield (at 2500p)</t>
        </is>
      </c>
      <c r="D18" s="20">
        <f>D11/2500</f>
        <v/>
      </c>
      <c r="E18" s="20">
        <f>E11/2500</f>
        <v/>
      </c>
      <c r="F18" s="20">
        <f>F11/2500</f>
        <v/>
      </c>
      <c r="G18" s="20">
        <f>G11/2500</f>
        <v/>
      </c>
      <c r="H18" s="20">
        <f>H11/2500</f>
        <v/>
      </c>
      <c r="I18" s="20">
        <f>I11/2500</f>
        <v/>
      </c>
      <c r="J18" s="20">
        <f>J11/2500</f>
        <v/>
      </c>
      <c r="K18" s="20">
        <f>K11/2500</f>
        <v/>
      </c>
      <c r="L18" s="20">
        <f>L11/2500</f>
        <v/>
      </c>
      <c r="M18" s="20">
        <f>M11/2500</f>
        <v/>
      </c>
    </row>
  </sheetData>
  <mergeCells count="4">
    <mergeCell ref="B16:M16"/>
    <mergeCell ref="B4:M4"/>
    <mergeCell ref="B10:M10"/>
    <mergeCell ref="B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M40"/>
  <sheetViews>
    <sheetView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22" customHeight="1">
      <c r="B1" s="10" t="inlineStr">
        <is>
          <t>DIAGEO PLC — BALANCE SHEET   (£m)</t>
        </is>
      </c>
    </row>
    <row r="2" ht="16" customHeight="1">
      <c r="D2" s="11" t="inlineStr">
        <is>
          <t>FY2020A</t>
        </is>
      </c>
      <c r="E2" s="11" t="inlineStr">
        <is>
          <t>FY2021A</t>
        </is>
      </c>
      <c r="F2" s="11" t="inlineStr">
        <is>
          <t>FY2022A</t>
        </is>
      </c>
      <c r="G2" s="11" t="inlineStr">
        <is>
          <t>FY2023A</t>
        </is>
      </c>
      <c r="H2" s="11" t="inlineStr">
        <is>
          <t>FY2024A</t>
        </is>
      </c>
      <c r="I2" s="12" t="inlineStr">
        <is>
          <t>FY2025E</t>
        </is>
      </c>
      <c r="J2" s="12" t="inlineStr">
        <is>
          <t>FY2026E</t>
        </is>
      </c>
      <c r="K2" s="12" t="inlineStr">
        <is>
          <t>FY2027E</t>
        </is>
      </c>
      <c r="L2" s="12" t="inlineStr">
        <is>
          <t>FY2028E</t>
        </is>
      </c>
      <c r="M2" s="12" t="inlineStr">
        <is>
          <t>FY2029E</t>
        </is>
      </c>
    </row>
    <row r="4" ht="15" customHeight="1">
      <c r="B4" s="13" t="inlineStr">
        <is>
          <t>Current Assets</t>
        </is>
      </c>
    </row>
    <row r="5" ht="15" customHeight="1">
      <c r="B5" s="14" t="inlineStr">
        <is>
          <t>Cash &amp; Equivalents</t>
        </is>
      </c>
      <c r="C5" s="15" t="inlineStr">
        <is>
          <t>Diageo AR p.132 / Cash Flow closing</t>
        </is>
      </c>
      <c r="D5" s="16" t="n">
        <v>2900</v>
      </c>
      <c r="E5" s="16" t="n">
        <v>2600</v>
      </c>
      <c r="F5" s="16" t="n">
        <v>2400</v>
      </c>
      <c r="G5" s="16" t="n">
        <v>2300</v>
      </c>
      <c r="H5" s="16" t="n">
        <v>2100</v>
      </c>
      <c r="I5" s="34">
        <f>'Cash Flow'!I31</f>
        <v/>
      </c>
      <c r="J5" s="34">
        <f>'Cash Flow'!J31</f>
        <v/>
      </c>
      <c r="K5" s="34">
        <f>'Cash Flow'!K31</f>
        <v/>
      </c>
      <c r="L5" s="34">
        <f>'Cash Flow'!L31</f>
        <v/>
      </c>
      <c r="M5" s="34">
        <f>'Cash Flow'!M31</f>
        <v/>
      </c>
    </row>
    <row r="6" ht="15" customHeight="1">
      <c r="B6" s="4" t="inlineStr">
        <is>
          <t>Inventories</t>
        </is>
      </c>
      <c r="C6" s="15" t="inlineStr">
        <is>
          <t>WC Schedule</t>
        </is>
      </c>
      <c r="D6" s="16" t="n">
        <v>5800</v>
      </c>
      <c r="E6" s="16" t="n">
        <v>6100</v>
      </c>
      <c r="F6" s="16" t="n">
        <v>6500</v>
      </c>
      <c r="G6" s="16" t="n">
        <v>7200</v>
      </c>
      <c r="H6" s="16" t="n">
        <v>7400</v>
      </c>
      <c r="I6" s="34">
        <f>'WC Schedule'!I5</f>
        <v/>
      </c>
      <c r="J6" s="34">
        <f>'WC Schedule'!J5</f>
        <v/>
      </c>
      <c r="K6" s="34">
        <f>'WC Schedule'!K5</f>
        <v/>
      </c>
      <c r="L6" s="34">
        <f>'WC Schedule'!L5</f>
        <v/>
      </c>
      <c r="M6" s="34">
        <f>'WC Schedule'!M5</f>
        <v/>
      </c>
    </row>
    <row r="7" ht="15" customHeight="1">
      <c r="B7" s="4" t="inlineStr">
        <is>
          <t>Trade &amp; Other Receivables</t>
        </is>
      </c>
      <c r="C7" s="15" t="inlineStr">
        <is>
          <t>WC Schedule</t>
        </is>
      </c>
      <c r="D7" s="16" t="n">
        <v>2100</v>
      </c>
      <c r="E7" s="16" t="n">
        <v>2300</v>
      </c>
      <c r="F7" s="16" t="n">
        <v>2700</v>
      </c>
      <c r="G7" s="16" t="n">
        <v>2900</v>
      </c>
      <c r="H7" s="16" t="n">
        <v>2750</v>
      </c>
      <c r="I7" s="34">
        <f>'WC Schedule'!I7</f>
        <v/>
      </c>
      <c r="J7" s="34">
        <f>'WC Schedule'!J7</f>
        <v/>
      </c>
      <c r="K7" s="34">
        <f>'WC Schedule'!K7</f>
        <v/>
      </c>
      <c r="L7" s="34">
        <f>'WC Schedule'!L7</f>
        <v/>
      </c>
      <c r="M7" s="34">
        <f>'WC Schedule'!M7</f>
        <v/>
      </c>
    </row>
    <row r="8" ht="15" customHeight="1">
      <c r="B8" s="4" t="inlineStr">
        <is>
          <t>Other Current Assets</t>
        </is>
      </c>
      <c r="C8" s="15" t="inlineStr">
        <is>
          <t>WC Schedule</t>
        </is>
      </c>
      <c r="D8" s="16" t="n">
        <v>500</v>
      </c>
      <c r="E8" s="16" t="n">
        <v>520</v>
      </c>
      <c r="F8" s="16" t="n">
        <v>560</v>
      </c>
      <c r="G8" s="16" t="n">
        <v>580</v>
      </c>
      <c r="H8" s="16" t="n">
        <v>600</v>
      </c>
      <c r="I8" s="34">
        <f>'WC Schedule'!I9</f>
        <v/>
      </c>
      <c r="J8" s="34">
        <f>'WC Schedule'!J9</f>
        <v/>
      </c>
      <c r="K8" s="34">
        <f>'WC Schedule'!K9</f>
        <v/>
      </c>
      <c r="L8" s="34">
        <f>'WC Schedule'!L9</f>
        <v/>
      </c>
      <c r="M8" s="34">
        <f>'WC Schedule'!M9</f>
        <v/>
      </c>
    </row>
    <row r="9" ht="15" customHeight="1">
      <c r="B9" s="35" t="inlineStr">
        <is>
          <t>Total Current Assets</t>
        </is>
      </c>
      <c r="C9" s="49" t="n"/>
      <c r="D9" s="50">
        <f>D5+D6+D7+D8</f>
        <v/>
      </c>
      <c r="E9" s="50">
        <f>E5+E6+E7+E8</f>
        <v/>
      </c>
      <c r="F9" s="50">
        <f>F5+F6+F7+F8</f>
        <v/>
      </c>
      <c r="G9" s="50">
        <f>G5+G6+G7+G8</f>
        <v/>
      </c>
      <c r="H9" s="50">
        <f>H5+H6+H7+H8</f>
        <v/>
      </c>
      <c r="I9" s="50">
        <f>I5+I6+I7+I8</f>
        <v/>
      </c>
      <c r="J9" s="50">
        <f>J5+J6+J7+J8</f>
        <v/>
      </c>
      <c r="K9" s="50">
        <f>K5+K6+K7+K8</f>
        <v/>
      </c>
      <c r="L9" s="50">
        <f>L5+L6+L7+L8</f>
        <v/>
      </c>
      <c r="M9" s="50">
        <f>M5+M6+M7+M8</f>
        <v/>
      </c>
    </row>
    <row r="11" ht="15" customHeight="1">
      <c r="B11" s="13" t="inlineStr">
        <is>
          <t>Non-Current Assets</t>
        </is>
      </c>
    </row>
    <row r="12" ht="15" customHeight="1">
      <c r="B12" s="4" t="inlineStr">
        <is>
          <t>PP&amp;E (net)</t>
        </is>
      </c>
      <c r="C12" s="15" t="inlineStr">
        <is>
          <t>Capex &amp; DA Schedule</t>
        </is>
      </c>
      <c r="D12" s="16" t="n">
        <v>4800</v>
      </c>
      <c r="E12" s="16" t="n">
        <v>4650</v>
      </c>
      <c r="F12" s="16" t="n">
        <v>4580</v>
      </c>
      <c r="G12" s="16" t="n">
        <v>4700</v>
      </c>
      <c r="H12" s="16" t="n">
        <v>4850</v>
      </c>
      <c r="I12" s="34">
        <f>'Capex &amp; DA'!I8</f>
        <v/>
      </c>
      <c r="J12" s="34">
        <f>'Capex &amp; DA'!J8</f>
        <v/>
      </c>
      <c r="K12" s="34">
        <f>'Capex &amp; DA'!K8</f>
        <v/>
      </c>
      <c r="L12" s="34">
        <f>'Capex &amp; DA'!L8</f>
        <v/>
      </c>
      <c r="M12" s="34">
        <f>'Capex &amp; DA'!M8</f>
        <v/>
      </c>
    </row>
    <row r="13" ht="15" customHeight="1">
      <c r="B13" s="4" t="inlineStr">
        <is>
          <t>Right-of-Use Assets</t>
        </is>
      </c>
      <c r="C13" s="15" t="inlineStr">
        <is>
          <t>Capex &amp; DA Schedule</t>
        </is>
      </c>
      <c r="D13" s="16" t="n">
        <v>780</v>
      </c>
      <c r="E13" s="16" t="n">
        <v>750</v>
      </c>
      <c r="F13" s="16" t="n">
        <v>730</v>
      </c>
      <c r="G13" s="16" t="n">
        <v>720</v>
      </c>
      <c r="H13" s="16" t="n">
        <v>710</v>
      </c>
      <c r="I13" s="34">
        <f>'Capex &amp; DA'!I14</f>
        <v/>
      </c>
      <c r="J13" s="34">
        <f>'Capex &amp; DA'!J14</f>
        <v/>
      </c>
      <c r="K13" s="34">
        <f>'Capex &amp; DA'!K14</f>
        <v/>
      </c>
      <c r="L13" s="34">
        <f>'Capex &amp; DA'!L14</f>
        <v/>
      </c>
      <c r="M13" s="34">
        <f>'Capex &amp; DA'!M14</f>
        <v/>
      </c>
    </row>
    <row r="14" ht="15" customHeight="1">
      <c r="B14" s="4" t="inlineStr">
        <is>
          <t>Goodwill, Brands &amp; Intangibles</t>
        </is>
      </c>
      <c r="C14" s="15" t="inlineStr">
        <is>
          <t>Capex &amp; DA Schedule</t>
        </is>
      </c>
      <c r="D14" s="16" t="n">
        <v>16200</v>
      </c>
      <c r="E14" s="16" t="n">
        <v>16550</v>
      </c>
      <c r="F14" s="16" t="n">
        <v>17100</v>
      </c>
      <c r="G14" s="16" t="n">
        <v>17550</v>
      </c>
      <c r="H14" s="16" t="n">
        <v>17800</v>
      </c>
      <c r="I14" s="34">
        <f>'Capex &amp; DA'!I17</f>
        <v/>
      </c>
      <c r="J14" s="34">
        <f>'Capex &amp; DA'!J17</f>
        <v/>
      </c>
      <c r="K14" s="34">
        <f>'Capex &amp; DA'!K17</f>
        <v/>
      </c>
      <c r="L14" s="34">
        <f>'Capex &amp; DA'!L17</f>
        <v/>
      </c>
      <c r="M14" s="34">
        <f>'Capex &amp; DA'!M17</f>
        <v/>
      </c>
    </row>
    <row r="15" ht="15" customHeight="1">
      <c r="B15" s="4" t="inlineStr">
        <is>
          <t>Other Non-Current Assets</t>
        </is>
      </c>
      <c r="C15" s="15" t="inlineStr">
        <is>
          <t>Associates, pension; grows ~2% p.a.</t>
        </is>
      </c>
      <c r="D15" s="16" t="n">
        <v>4000</v>
      </c>
      <c r="E15" s="16" t="n">
        <v>4050</v>
      </c>
      <c r="F15" s="16" t="n">
        <v>4100</v>
      </c>
      <c r="G15" s="16" t="n">
        <v>4200</v>
      </c>
      <c r="H15" s="16" t="n">
        <v>4200</v>
      </c>
      <c r="I15" s="17">
        <f>ROUND(H15*1.02,0)</f>
        <v/>
      </c>
      <c r="J15" s="17">
        <f>ROUND(I15*1.02,0)</f>
        <v/>
      </c>
      <c r="K15" s="17">
        <f>ROUND(J15*1.02,0)</f>
        <v/>
      </c>
      <c r="L15" s="17">
        <f>ROUND(K15*1.02,0)</f>
        <v/>
      </c>
      <c r="M15" s="17">
        <f>ROUND(L15*1.02,0)</f>
        <v/>
      </c>
    </row>
    <row r="16" ht="15" customHeight="1">
      <c r="B16" s="35" t="inlineStr">
        <is>
          <t>Total Non-Current Assets</t>
        </is>
      </c>
      <c r="C16" s="49" t="n"/>
      <c r="D16" s="50">
        <f>D12+D13+D14+D15</f>
        <v/>
      </c>
      <c r="E16" s="50">
        <f>E12+E13+E14+E15</f>
        <v/>
      </c>
      <c r="F16" s="50">
        <f>F12+F13+F14+F15</f>
        <v/>
      </c>
      <c r="G16" s="50">
        <f>G12+G13+G14+G15</f>
        <v/>
      </c>
      <c r="H16" s="50">
        <f>H12+H13+H14+H15</f>
        <v/>
      </c>
      <c r="I16" s="50">
        <f>I12+I13+I14+I15</f>
        <v/>
      </c>
      <c r="J16" s="50">
        <f>J12+J13+J14+J15</f>
        <v/>
      </c>
      <c r="K16" s="50">
        <f>K12+K13+K14+K15</f>
        <v/>
      </c>
      <c r="L16" s="50">
        <f>L12+L13+L14+L15</f>
        <v/>
      </c>
      <c r="M16" s="50">
        <f>M12+M13+M14+M15</f>
        <v/>
      </c>
    </row>
    <row r="18" ht="15" customHeight="1">
      <c r="B18" s="27" t="inlineStr">
        <is>
          <t>TOTAL ASSETS</t>
        </is>
      </c>
      <c r="C18" s="28" t="n"/>
      <c r="D18" s="40">
        <f>D9+D16</f>
        <v/>
      </c>
      <c r="E18" s="40">
        <f>E9+E16</f>
        <v/>
      </c>
      <c r="F18" s="40">
        <f>F9+F16</f>
        <v/>
      </c>
      <c r="G18" s="40">
        <f>G9+G16</f>
        <v/>
      </c>
      <c r="H18" s="40">
        <f>H9+H16</f>
        <v/>
      </c>
      <c r="I18" s="40">
        <f>I9+I16</f>
        <v/>
      </c>
      <c r="J18" s="40">
        <f>J9+J16</f>
        <v/>
      </c>
      <c r="K18" s="40">
        <f>K9+K16</f>
        <v/>
      </c>
      <c r="L18" s="40">
        <f>L9+L16</f>
        <v/>
      </c>
      <c r="M18" s="40">
        <f>M9+M16</f>
        <v/>
      </c>
    </row>
    <row r="20" ht="15" customHeight="1">
      <c r="B20" s="13" t="inlineStr">
        <is>
          <t>Current Liabilities</t>
        </is>
      </c>
    </row>
    <row r="21" ht="15" customHeight="1">
      <c r="B21" s="4" t="inlineStr">
        <is>
          <t>Trade &amp; Other Payables</t>
        </is>
      </c>
      <c r="C21" s="15" t="inlineStr">
        <is>
          <t>WC Schedule</t>
        </is>
      </c>
      <c r="D21" s="16" t="n">
        <v>3200</v>
      </c>
      <c r="E21" s="16" t="n">
        <v>3400</v>
      </c>
      <c r="F21" s="16" t="n">
        <v>3800</v>
      </c>
      <c r="G21" s="16" t="n">
        <v>4100</v>
      </c>
      <c r="H21" s="16" t="n">
        <v>3900</v>
      </c>
      <c r="I21" s="34">
        <f>'WC Schedule'!I12</f>
        <v/>
      </c>
      <c r="J21" s="34">
        <f>'WC Schedule'!J12</f>
        <v/>
      </c>
      <c r="K21" s="34">
        <f>'WC Schedule'!K12</f>
        <v/>
      </c>
      <c r="L21" s="34">
        <f>'WC Schedule'!L12</f>
        <v/>
      </c>
      <c r="M21" s="34">
        <f>'WC Schedule'!M12</f>
        <v/>
      </c>
    </row>
    <row r="22" ht="15" customHeight="1">
      <c r="B22" s="4" t="inlineStr">
        <is>
          <t>Short-Term Borrowings</t>
        </is>
      </c>
      <c r="C22" s="15" t="inlineStr">
        <is>
          <t>~15% of total bonds</t>
        </is>
      </c>
      <c r="D22" s="16" t="n">
        <v>1500</v>
      </c>
      <c r="E22" s="16" t="n">
        <v>2200</v>
      </c>
      <c r="F22" s="16" t="n">
        <v>2800</v>
      </c>
      <c r="G22" s="16" t="n">
        <v>2100</v>
      </c>
      <c r="H22" s="16" t="n">
        <v>1800</v>
      </c>
      <c r="I22" s="17">
        <f>ROUND('Debt &amp; Interest'!I7*0.15,0)</f>
        <v/>
      </c>
      <c r="J22" s="17">
        <f>ROUND('Debt &amp; Interest'!J7*0.15,0)</f>
        <v/>
      </c>
      <c r="K22" s="17">
        <f>ROUND('Debt &amp; Interest'!K7*0.15,0)</f>
        <v/>
      </c>
      <c r="L22" s="17">
        <f>ROUND('Debt &amp; Interest'!L7*0.15,0)</f>
        <v/>
      </c>
      <c r="M22" s="17">
        <f>ROUND('Debt &amp; Interest'!M7*0.15,0)</f>
        <v/>
      </c>
    </row>
    <row r="23" ht="15" customHeight="1">
      <c r="B23" s="4" t="inlineStr">
        <is>
          <t>Current Lease Liabilities</t>
        </is>
      </c>
      <c r="C23" s="15" t="inlineStr">
        <is>
          <t>WC Schedule</t>
        </is>
      </c>
      <c r="D23" s="16" t="n">
        <v>120</v>
      </c>
      <c r="E23" s="16" t="n">
        <v>125</v>
      </c>
      <c r="F23" s="16" t="n">
        <v>130</v>
      </c>
      <c r="G23" s="16" t="n">
        <v>135</v>
      </c>
      <c r="H23" s="16" t="n">
        <v>140</v>
      </c>
      <c r="I23" s="34">
        <f>'WC Schedule'!I14</f>
        <v/>
      </c>
      <c r="J23" s="34">
        <f>'WC Schedule'!J14</f>
        <v/>
      </c>
      <c r="K23" s="34">
        <f>'WC Schedule'!K14</f>
        <v/>
      </c>
      <c r="L23" s="34">
        <f>'WC Schedule'!L14</f>
        <v/>
      </c>
      <c r="M23" s="34">
        <f>'WC Schedule'!M14</f>
        <v/>
      </c>
    </row>
    <row r="24" ht="15" customHeight="1">
      <c r="B24" s="4" t="inlineStr">
        <is>
          <t>Other Current Liabilities</t>
        </is>
      </c>
      <c r="C24" s="15" t="inlineStr">
        <is>
          <t>WC Schedule</t>
        </is>
      </c>
      <c r="D24" s="16" t="n">
        <v>2400</v>
      </c>
      <c r="E24" s="16" t="n">
        <v>2500</v>
      </c>
      <c r="F24" s="16" t="n">
        <v>2700</v>
      </c>
      <c r="G24" s="16" t="n">
        <v>2900</v>
      </c>
      <c r="H24" s="16" t="n">
        <v>2800</v>
      </c>
      <c r="I24" s="34">
        <f>'WC Schedule'!I15</f>
        <v/>
      </c>
      <c r="J24" s="34">
        <f>'WC Schedule'!J15</f>
        <v/>
      </c>
      <c r="K24" s="34">
        <f>'WC Schedule'!K15</f>
        <v/>
      </c>
      <c r="L24" s="34">
        <f>'WC Schedule'!L15</f>
        <v/>
      </c>
      <c r="M24" s="34">
        <f>'WC Schedule'!M15</f>
        <v/>
      </c>
    </row>
    <row r="25" ht="15" customHeight="1">
      <c r="B25" s="35" t="inlineStr">
        <is>
          <t>Total Current Liabilities</t>
        </is>
      </c>
      <c r="C25" s="49" t="n"/>
      <c r="D25" s="50">
        <f>D21+D22+D23+D24</f>
        <v/>
      </c>
      <c r="E25" s="50">
        <f>E21+E22+E23+E24</f>
        <v/>
      </c>
      <c r="F25" s="50">
        <f>F21+F22+F23+F24</f>
        <v/>
      </c>
      <c r="G25" s="50">
        <f>G21+G22+G23+G24</f>
        <v/>
      </c>
      <c r="H25" s="50">
        <f>H21+H22+H23+H24</f>
        <v/>
      </c>
      <c r="I25" s="50">
        <f>I21+I22+I23+I24</f>
        <v/>
      </c>
      <c r="J25" s="50">
        <f>J21+J22+J23+J24</f>
        <v/>
      </c>
      <c r="K25" s="50">
        <f>K21+K22+K23+K24</f>
        <v/>
      </c>
      <c r="L25" s="50">
        <f>L21+L22+L23+L24</f>
        <v/>
      </c>
      <c r="M25" s="50">
        <f>M21+M22+M23+M24</f>
        <v/>
      </c>
    </row>
    <row r="27" ht="15" customHeight="1">
      <c r="B27" s="13" t="inlineStr">
        <is>
          <t>Non-Current Liabilities</t>
        </is>
      </c>
    </row>
    <row r="28" ht="15" customHeight="1">
      <c r="B28" s="4" t="inlineStr">
        <is>
          <t>Long-Term Borrowings</t>
        </is>
      </c>
      <c r="C28" s="15" t="inlineStr">
        <is>
          <t>85% of Debt Schedule closing</t>
        </is>
      </c>
      <c r="D28" s="16" t="n">
        <v>12000</v>
      </c>
      <c r="E28" s="16" t="n">
        <v>12000</v>
      </c>
      <c r="F28" s="16" t="n">
        <v>13200</v>
      </c>
      <c r="G28" s="16" t="n">
        <v>14800</v>
      </c>
      <c r="H28" s="16" t="n">
        <v>15100</v>
      </c>
      <c r="I28" s="17">
        <f>ROUND('Debt &amp; Interest'!I7*0.85,0)</f>
        <v/>
      </c>
      <c r="J28" s="17">
        <f>ROUND('Debt &amp; Interest'!J7*0.85,0)</f>
        <v/>
      </c>
      <c r="K28" s="17">
        <f>ROUND('Debt &amp; Interest'!K7*0.85,0)</f>
        <v/>
      </c>
      <c r="L28" s="17">
        <f>ROUND('Debt &amp; Interest'!L7*0.85,0)</f>
        <v/>
      </c>
      <c r="M28" s="17">
        <f>ROUND('Debt &amp; Interest'!M7*0.85,0)</f>
        <v/>
      </c>
    </row>
    <row r="29" ht="15" customHeight="1">
      <c r="B29" s="4" t="inlineStr">
        <is>
          <t>Long-Term Lease Liabilities</t>
        </is>
      </c>
      <c r="C29" s="15" t="inlineStr">
        <is>
          <t>Debt Schedule</t>
        </is>
      </c>
      <c r="D29" s="16" t="n">
        <v>680</v>
      </c>
      <c r="E29" s="16" t="n">
        <v>650</v>
      </c>
      <c r="F29" s="16" t="n">
        <v>630</v>
      </c>
      <c r="G29" s="16" t="n">
        <v>620</v>
      </c>
      <c r="H29" s="16" t="n">
        <v>610</v>
      </c>
      <c r="I29" s="34">
        <f>'Debt &amp; Interest'!I15-'WC Schedule'!I14</f>
        <v/>
      </c>
      <c r="J29" s="34">
        <f>'Debt &amp; Interest'!J15-'WC Schedule'!J14</f>
        <v/>
      </c>
      <c r="K29" s="34">
        <f>'Debt &amp; Interest'!K15-'WC Schedule'!K14</f>
        <v/>
      </c>
      <c r="L29" s="34">
        <f>'Debt &amp; Interest'!L15-'WC Schedule'!L14</f>
        <v/>
      </c>
      <c r="M29" s="34">
        <f>'Debt &amp; Interest'!M15-'WC Schedule'!M14</f>
        <v/>
      </c>
    </row>
    <row r="30" ht="15" customHeight="1">
      <c r="B30" s="4" t="inlineStr">
        <is>
          <t>Deferred Tax</t>
        </is>
      </c>
      <c r="C30" s="15" t="inlineStr">
        <is>
          <t>Note 8 p.126; grows ~2% p.a.</t>
        </is>
      </c>
      <c r="D30" s="16" t="n">
        <v>2800</v>
      </c>
      <c r="E30" s="16" t="n">
        <v>2900</v>
      </c>
      <c r="F30" s="16" t="n">
        <v>3000</v>
      </c>
      <c r="G30" s="16" t="n">
        <v>3100</v>
      </c>
      <c r="H30" s="16" t="n">
        <v>3200</v>
      </c>
      <c r="I30" s="17">
        <f>ROUND(H30*1.02,0)</f>
        <v/>
      </c>
      <c r="J30" s="17">
        <f>ROUND(I30*1.02,0)</f>
        <v/>
      </c>
      <c r="K30" s="17">
        <f>ROUND(J30*1.02,0)</f>
        <v/>
      </c>
      <c r="L30" s="17">
        <f>ROUND(K30*1.02,0)</f>
        <v/>
      </c>
      <c r="M30" s="17">
        <f>ROUND(L30*1.02,0)</f>
        <v/>
      </c>
    </row>
    <row r="31" ht="15" customHeight="1">
      <c r="B31" s="35" t="inlineStr">
        <is>
          <t>Total Non-Current Liabilities</t>
        </is>
      </c>
      <c r="C31" s="49" t="n"/>
      <c r="D31" s="50">
        <f>D28+D29+D30</f>
        <v/>
      </c>
      <c r="E31" s="50">
        <f>E28+E29+E30</f>
        <v/>
      </c>
      <c r="F31" s="50">
        <f>F28+F29+F30</f>
        <v/>
      </c>
      <c r="G31" s="50">
        <f>G28+G29+G30</f>
        <v/>
      </c>
      <c r="H31" s="50">
        <f>H28+H29+H30</f>
        <v/>
      </c>
      <c r="I31" s="50">
        <f>I28+I29+I30</f>
        <v/>
      </c>
      <c r="J31" s="50">
        <f>J28+J29+J30</f>
        <v/>
      </c>
      <c r="K31" s="50">
        <f>K28+K29+K30</f>
        <v/>
      </c>
      <c r="L31" s="50">
        <f>L28+L29+L30</f>
        <v/>
      </c>
      <c r="M31" s="50">
        <f>M28+M29+M30</f>
        <v/>
      </c>
    </row>
    <row r="33" ht="15" customHeight="1">
      <c r="B33" s="14" t="inlineStr">
        <is>
          <t>TOTAL LIABILITIES</t>
        </is>
      </c>
      <c r="D33" s="39">
        <f>D25+D31</f>
        <v/>
      </c>
      <c r="E33" s="39">
        <f>E25+E31</f>
        <v/>
      </c>
      <c r="F33" s="39">
        <f>F25+F31</f>
        <v/>
      </c>
      <c r="G33" s="39">
        <f>G25+G31</f>
        <v/>
      </c>
      <c r="H33" s="39">
        <f>H25+H31</f>
        <v/>
      </c>
      <c r="I33" s="39">
        <f>I25+I31</f>
        <v/>
      </c>
      <c r="J33" s="39">
        <f>J25+J31</f>
        <v/>
      </c>
      <c r="K33" s="39">
        <f>K25+K31</f>
        <v/>
      </c>
      <c r="L33" s="39">
        <f>L25+L31</f>
        <v/>
      </c>
      <c r="M33" s="39">
        <f>M25+M31</f>
        <v/>
      </c>
    </row>
    <row r="34" ht="15" customHeight="1">
      <c r="B34" s="27" t="inlineStr">
        <is>
          <t>NET ASSETS</t>
        </is>
      </c>
      <c r="C34" s="28" t="n"/>
      <c r="D34" s="40">
        <f>D18-D33</f>
        <v/>
      </c>
      <c r="E34" s="40">
        <f>E18-E33</f>
        <v/>
      </c>
      <c r="F34" s="40">
        <f>F18-F33</f>
        <v/>
      </c>
      <c r="G34" s="40">
        <f>G18-G33</f>
        <v/>
      </c>
      <c r="H34" s="40">
        <f>H18-H33</f>
        <v/>
      </c>
      <c r="I34" s="40">
        <f>I18-I33</f>
        <v/>
      </c>
      <c r="J34" s="40">
        <f>J18-J33</f>
        <v/>
      </c>
      <c r="K34" s="40">
        <f>K18-K33</f>
        <v/>
      </c>
      <c r="L34" s="40">
        <f>L18-L33</f>
        <v/>
      </c>
      <c r="M34" s="40">
        <f>M18-M33</f>
        <v/>
      </c>
    </row>
    <row r="36" ht="15" customHeight="1">
      <c r="B36" s="13" t="inlineStr">
        <is>
          <t>Shareholders' Equity</t>
        </is>
      </c>
    </row>
    <row r="37" ht="15" customHeight="1">
      <c r="B37" s="14" t="inlineStr">
        <is>
          <t>Shareholders' Equity</t>
        </is>
      </c>
      <c r="C37" s="15" t="inlineStr">
        <is>
          <t>Prior equity + PAT - Dividends - Buybacks</t>
        </is>
      </c>
      <c r="D37" s="16" t="n">
        <v>14380</v>
      </c>
      <c r="E37" s="16" t="n">
        <v>13745</v>
      </c>
      <c r="F37" s="16" t="n">
        <v>12410</v>
      </c>
      <c r="G37" s="16" t="n">
        <v>12395</v>
      </c>
      <c r="H37" s="16" t="n">
        <v>12860</v>
      </c>
      <c r="I37" s="39">
        <f>H37+'Income Statement'!I22-'Div &amp; Buyback'!I12-'Div &amp; Buyback'!I13</f>
        <v/>
      </c>
      <c r="J37" s="39">
        <f>I37+'Income Statement'!J22-'Div &amp; Buyback'!J12-'Div &amp; Buyback'!J13</f>
        <v/>
      </c>
      <c r="K37" s="39">
        <f>J37+'Income Statement'!K22-'Div &amp; Buyback'!K12-'Div &amp; Buyback'!K13</f>
        <v/>
      </c>
      <c r="L37" s="39">
        <f>K37+'Income Statement'!L22-'Div &amp; Buyback'!L12-'Div &amp; Buyback'!L13</f>
        <v/>
      </c>
      <c r="M37" s="39">
        <f>L37+'Income Statement'!M22-'Div &amp; Buyback'!M12-'Div &amp; Buyback'!M13</f>
        <v/>
      </c>
    </row>
    <row r="38" ht="15" customHeight="1">
      <c r="B38" s="30" t="inlineStr">
        <is>
          <t>TOTAL EQUITY</t>
        </is>
      </c>
      <c r="C38" s="32" t="n"/>
      <c r="D38" s="44">
        <f>D37</f>
        <v/>
      </c>
      <c r="E38" s="44">
        <f>E37</f>
        <v/>
      </c>
      <c r="F38" s="44">
        <f>F37</f>
        <v/>
      </c>
      <c r="G38" s="44">
        <f>G37</f>
        <v/>
      </c>
      <c r="H38" s="44">
        <f>H37</f>
        <v/>
      </c>
      <c r="I38" s="44">
        <f>I37</f>
        <v/>
      </c>
      <c r="J38" s="44">
        <f>J37</f>
        <v/>
      </c>
      <c r="K38" s="44">
        <f>K37</f>
        <v/>
      </c>
      <c r="L38" s="44">
        <f>L37</f>
        <v/>
      </c>
      <c r="M38" s="44">
        <f>M37</f>
        <v/>
      </c>
    </row>
    <row r="40" ht="15" customHeight="1">
      <c r="B40" s="52" t="inlineStr">
        <is>
          <t>AUDIT: Assets - Liab - Equity (should be 0)</t>
        </is>
      </c>
      <c r="D40" s="39">
        <f>D18-D33-D38</f>
        <v/>
      </c>
      <c r="E40" s="39">
        <f>E18-E33-E38</f>
        <v/>
      </c>
      <c r="F40" s="39">
        <f>F18-F33-F38</f>
        <v/>
      </c>
      <c r="G40" s="39">
        <f>G18-G33-G38</f>
        <v/>
      </c>
      <c r="H40" s="39">
        <f>H18-H33-H38</f>
        <v/>
      </c>
      <c r="I40" s="39">
        <f>I18-I33-I38</f>
        <v/>
      </c>
      <c r="J40" s="39">
        <f>J18-J33-J38</f>
        <v/>
      </c>
      <c r="K40" s="39">
        <f>K18-K33-K38</f>
        <v/>
      </c>
      <c r="L40" s="39">
        <f>L18-L33-L38</f>
        <v/>
      </c>
      <c r="M40" s="39">
        <f>M18-M33-M38</f>
        <v/>
      </c>
    </row>
  </sheetData>
  <mergeCells count="6">
    <mergeCell ref="B11:M11"/>
    <mergeCell ref="B20:M20"/>
    <mergeCell ref="B36:M36"/>
    <mergeCell ref="B27:M27"/>
    <mergeCell ref="B1:M1"/>
    <mergeCell ref="B4:M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M32"/>
  <sheetViews>
    <sheetView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22" customHeight="1">
      <c r="B1" s="10" t="inlineStr">
        <is>
          <t>DIAGEO PLC — CASH FLOW STATEMENT   (£m)</t>
        </is>
      </c>
    </row>
    <row r="2" ht="16" customHeight="1">
      <c r="D2" s="11" t="inlineStr">
        <is>
          <t>FY2020A</t>
        </is>
      </c>
      <c r="E2" s="11" t="inlineStr">
        <is>
          <t>FY2021A</t>
        </is>
      </c>
      <c r="F2" s="11" t="inlineStr">
        <is>
          <t>FY2022A</t>
        </is>
      </c>
      <c r="G2" s="11" t="inlineStr">
        <is>
          <t>FY2023A</t>
        </is>
      </c>
      <c r="H2" s="11" t="inlineStr">
        <is>
          <t>FY2024A</t>
        </is>
      </c>
      <c r="I2" s="12" t="inlineStr">
        <is>
          <t>FY2025E</t>
        </is>
      </c>
      <c r="J2" s="12" t="inlineStr">
        <is>
          <t>FY2026E</t>
        </is>
      </c>
      <c r="K2" s="12" t="inlineStr">
        <is>
          <t>FY2027E</t>
        </is>
      </c>
      <c r="L2" s="12" t="inlineStr">
        <is>
          <t>FY2028E</t>
        </is>
      </c>
      <c r="M2" s="12" t="inlineStr">
        <is>
          <t>FY2029E</t>
        </is>
      </c>
    </row>
    <row r="4" ht="15" customHeight="1">
      <c r="B4" s="13" t="inlineStr">
        <is>
          <t>Cash Flow from Operations</t>
        </is>
      </c>
    </row>
    <row r="5" ht="15" customHeight="1">
      <c r="B5" s="14" t="inlineStr">
        <is>
          <t>EBITDA</t>
        </is>
      </c>
      <c r="D5" s="34">
        <f>'Income Statement'!D10</f>
        <v/>
      </c>
      <c r="E5" s="34">
        <f>'Income Statement'!E10</f>
        <v/>
      </c>
      <c r="F5" s="34">
        <f>'Income Statement'!F10</f>
        <v/>
      </c>
      <c r="G5" s="34">
        <f>'Income Statement'!G10</f>
        <v/>
      </c>
      <c r="H5" s="34">
        <f>'Income Statement'!H10</f>
        <v/>
      </c>
      <c r="I5" s="34">
        <f>'Income Statement'!I10</f>
        <v/>
      </c>
      <c r="J5" s="34">
        <f>'Income Statement'!J10</f>
        <v/>
      </c>
      <c r="K5" s="34">
        <f>'Income Statement'!K10</f>
        <v/>
      </c>
      <c r="L5" s="34">
        <f>'Income Statement'!L10</f>
        <v/>
      </c>
      <c r="M5" s="34">
        <f>'Income Statement'!M10</f>
        <v/>
      </c>
    </row>
    <row r="6" ht="15" customHeight="1">
      <c r="B6" s="4" t="inlineStr">
        <is>
          <t xml:space="preserve">  Less: Tax Paid</t>
        </is>
      </c>
      <c r="D6" s="34">
        <f>-'Income Statement'!D21</f>
        <v/>
      </c>
      <c r="E6" s="34">
        <f>-'Income Statement'!E21</f>
        <v/>
      </c>
      <c r="F6" s="34">
        <f>-'Income Statement'!F21</f>
        <v/>
      </c>
      <c r="G6" s="34">
        <f>-'Income Statement'!G21</f>
        <v/>
      </c>
      <c r="H6" s="34">
        <f>-'Income Statement'!H21</f>
        <v/>
      </c>
      <c r="I6" s="34">
        <f>-'Income Statement'!I21</f>
        <v/>
      </c>
      <c r="J6" s="34">
        <f>-'Income Statement'!J21</f>
        <v/>
      </c>
      <c r="K6" s="34">
        <f>-'Income Statement'!K21</f>
        <v/>
      </c>
      <c r="L6" s="34">
        <f>-'Income Statement'!L21</f>
        <v/>
      </c>
      <c r="M6" s="34">
        <f>-'Income Statement'!M21</f>
        <v/>
      </c>
    </row>
    <row r="7" ht="15" customHeight="1">
      <c r="B7" s="4" t="inlineStr">
        <is>
          <t xml:space="preserve">  Less: Change in Working Capital</t>
        </is>
      </c>
      <c r="D7" s="34">
        <f>-'WC Schedule'!D19</f>
        <v/>
      </c>
      <c r="E7" s="34">
        <f>-'WC Schedule'!E19</f>
        <v/>
      </c>
      <c r="F7" s="34">
        <f>-'WC Schedule'!F19</f>
        <v/>
      </c>
      <c r="G7" s="34">
        <f>-'WC Schedule'!G19</f>
        <v/>
      </c>
      <c r="H7" s="34">
        <f>-'WC Schedule'!H19</f>
        <v/>
      </c>
      <c r="I7" s="34">
        <f>-'WC Schedule'!I19</f>
        <v/>
      </c>
      <c r="J7" s="34">
        <f>-'WC Schedule'!J19</f>
        <v/>
      </c>
      <c r="K7" s="34">
        <f>-'WC Schedule'!K19</f>
        <v/>
      </c>
      <c r="L7" s="34">
        <f>-'WC Schedule'!L19</f>
        <v/>
      </c>
      <c r="M7" s="34">
        <f>-'WC Schedule'!M19</f>
        <v/>
      </c>
    </row>
    <row r="8" ht="15" customHeight="1">
      <c r="B8" s="4" t="inlineStr">
        <is>
          <t xml:space="preserve">  Other Operating Items</t>
        </is>
      </c>
      <c r="C8" s="15" t="inlineStr">
        <is>
          <t>SBC, pensions, provisions (AR p.142); held flat</t>
        </is>
      </c>
      <c r="D8" s="16" t="n">
        <v>40</v>
      </c>
      <c r="E8" s="16" t="n">
        <v>40</v>
      </c>
      <c r="F8" s="16" t="n">
        <v>40</v>
      </c>
      <c r="G8" s="16" t="n">
        <v>40</v>
      </c>
      <c r="H8" s="16" t="n">
        <v>40</v>
      </c>
      <c r="I8" s="16" t="n">
        <v>40</v>
      </c>
      <c r="J8" s="16" t="n">
        <v>40</v>
      </c>
      <c r="K8" s="16" t="n">
        <v>40</v>
      </c>
      <c r="L8" s="16" t="n">
        <v>40</v>
      </c>
      <c r="M8" s="16" t="n">
        <v>40</v>
      </c>
    </row>
    <row r="9" ht="15" customHeight="1">
      <c r="B9" s="21" t="inlineStr">
        <is>
          <t>Cash Flow from Operations</t>
        </is>
      </c>
      <c r="C9" s="22" t="n"/>
      <c r="D9" s="23">
        <f>D5+D6+D7+D8</f>
        <v/>
      </c>
      <c r="E9" s="23">
        <f>E5+E6+E7+E8</f>
        <v/>
      </c>
      <c r="F9" s="23">
        <f>F5+F6+F7+F8</f>
        <v/>
      </c>
      <c r="G9" s="23">
        <f>G5+G6+G7+G8</f>
        <v/>
      </c>
      <c r="H9" s="23">
        <f>H5+H6+H7+H8</f>
        <v/>
      </c>
      <c r="I9" s="23">
        <f>I5+I6+I7+I8</f>
        <v/>
      </c>
      <c r="J9" s="23">
        <f>J5+J6+J7+J8</f>
        <v/>
      </c>
      <c r="K9" s="23">
        <f>K5+K6+K7+K8</f>
        <v/>
      </c>
      <c r="L9" s="23">
        <f>L5+L6+L7+L8</f>
        <v/>
      </c>
      <c r="M9" s="23">
        <f>M5+M6+M7+M8</f>
        <v/>
      </c>
    </row>
    <row r="11" ht="15" customHeight="1">
      <c r="B11" s="13" t="inlineStr">
        <is>
          <t>Cash Flow from Investing</t>
        </is>
      </c>
    </row>
    <row r="12" ht="15" customHeight="1">
      <c r="B12" s="4" t="inlineStr">
        <is>
          <t xml:space="preserve">  Capital Expenditure</t>
        </is>
      </c>
      <c r="D12" s="34">
        <f>-'Capex &amp; DA'!D6</f>
        <v/>
      </c>
      <c r="E12" s="34">
        <f>-'Capex &amp; DA'!E6</f>
        <v/>
      </c>
      <c r="F12" s="34">
        <f>-'Capex &amp; DA'!F6</f>
        <v/>
      </c>
      <c r="G12" s="34">
        <f>-'Capex &amp; DA'!G6</f>
        <v/>
      </c>
      <c r="H12" s="34">
        <f>-'Capex &amp; DA'!H6</f>
        <v/>
      </c>
      <c r="I12" s="34">
        <f>-'Capex &amp; DA'!I6</f>
        <v/>
      </c>
      <c r="J12" s="34">
        <f>-'Capex &amp; DA'!J6</f>
        <v/>
      </c>
      <c r="K12" s="34">
        <f>-'Capex &amp; DA'!K6</f>
        <v/>
      </c>
      <c r="L12" s="34">
        <f>-'Capex &amp; DA'!L6</f>
        <v/>
      </c>
      <c r="M12" s="34">
        <f>-'Capex &amp; DA'!M6</f>
        <v/>
      </c>
    </row>
    <row r="13" ht="15" customHeight="1">
      <c r="B13" s="4" t="inlineStr">
        <is>
          <t xml:space="preserve">  Disposal Proceeds</t>
        </is>
      </c>
      <c r="C13" s="15" t="inlineStr">
        <is>
          <t>Diageo AR p.142; nominal</t>
        </is>
      </c>
      <c r="D13" s="16" t="n">
        <v>15</v>
      </c>
      <c r="E13" s="16" t="n">
        <v>15</v>
      </c>
      <c r="F13" s="16" t="n">
        <v>15</v>
      </c>
      <c r="G13" s="16" t="n">
        <v>15</v>
      </c>
      <c r="H13" s="16" t="n">
        <v>15</v>
      </c>
      <c r="I13" s="16" t="n">
        <v>15</v>
      </c>
      <c r="J13" s="16" t="n">
        <v>15</v>
      </c>
      <c r="K13" s="16" t="n">
        <v>15</v>
      </c>
      <c r="L13" s="16" t="n">
        <v>15</v>
      </c>
      <c r="M13" s="16" t="n">
        <v>15</v>
      </c>
    </row>
    <row r="14" ht="15" customHeight="1">
      <c r="B14" s="35" t="inlineStr">
        <is>
          <t>Cash Flow from Investing</t>
        </is>
      </c>
      <c r="C14" s="49" t="n"/>
      <c r="D14" s="50">
        <f>D12+D13</f>
        <v/>
      </c>
      <c r="E14" s="50">
        <f>E12+E13</f>
        <v/>
      </c>
      <c r="F14" s="50">
        <f>F12+F13</f>
        <v/>
      </c>
      <c r="G14" s="50">
        <f>G12+G13</f>
        <v/>
      </c>
      <c r="H14" s="50">
        <f>H12+H13</f>
        <v/>
      </c>
      <c r="I14" s="50">
        <f>I12+I13</f>
        <v/>
      </c>
      <c r="J14" s="50">
        <f>J12+J13</f>
        <v/>
      </c>
      <c r="K14" s="50">
        <f>K12+K13</f>
        <v/>
      </c>
      <c r="L14" s="50">
        <f>L12+L13</f>
        <v/>
      </c>
      <c r="M14" s="50">
        <f>M12+M13</f>
        <v/>
      </c>
    </row>
    <row r="16" ht="15" customHeight="1">
      <c r="B16" s="13" t="inlineStr">
        <is>
          <t>Cash Flow from Financing</t>
        </is>
      </c>
    </row>
    <row r="17" ht="15" customHeight="1">
      <c r="B17" s="4" t="inlineStr">
        <is>
          <t xml:space="preserve">  Debt Repayments / (Issuance)</t>
        </is>
      </c>
      <c r="D17" s="34">
        <f>-'Debt &amp; Interest'!D6</f>
        <v/>
      </c>
      <c r="E17" s="34">
        <f>-'Debt &amp; Interest'!E6</f>
        <v/>
      </c>
      <c r="F17" s="34">
        <f>-'Debt &amp; Interest'!F6</f>
        <v/>
      </c>
      <c r="G17" s="34">
        <f>-'Debt &amp; Interest'!G6</f>
        <v/>
      </c>
      <c r="H17" s="34">
        <f>-'Debt &amp; Interest'!H6</f>
        <v/>
      </c>
      <c r="I17" s="34">
        <f>-'Debt &amp; Interest'!I6</f>
        <v/>
      </c>
      <c r="J17" s="34">
        <f>-'Debt &amp; Interest'!J6</f>
        <v/>
      </c>
      <c r="K17" s="34">
        <f>-'Debt &amp; Interest'!K6</f>
        <v/>
      </c>
      <c r="L17" s="34">
        <f>-'Debt &amp; Interest'!L6</f>
        <v/>
      </c>
      <c r="M17" s="34">
        <f>-'Debt &amp; Interest'!M6</f>
        <v/>
      </c>
    </row>
    <row r="18" ht="15" customHeight="1">
      <c r="B18" s="4" t="inlineStr">
        <is>
          <t xml:space="preserve">  Lease Principal Payments</t>
        </is>
      </c>
      <c r="D18" s="34">
        <f>-'Debt &amp; Interest'!D14</f>
        <v/>
      </c>
      <c r="E18" s="34">
        <f>-'Debt &amp; Interest'!E14</f>
        <v/>
      </c>
      <c r="F18" s="34">
        <f>-'Debt &amp; Interest'!F14</f>
        <v/>
      </c>
      <c r="G18" s="34">
        <f>-'Debt &amp; Interest'!G14</f>
        <v/>
      </c>
      <c r="H18" s="34">
        <f>-'Debt &amp; Interest'!H14</f>
        <v/>
      </c>
      <c r="I18" s="34">
        <f>-'Debt &amp; Interest'!I14</f>
        <v/>
      </c>
      <c r="J18" s="34">
        <f>-'Debt &amp; Interest'!J14</f>
        <v/>
      </c>
      <c r="K18" s="34">
        <f>-'Debt &amp; Interest'!K14</f>
        <v/>
      </c>
      <c r="L18" s="34">
        <f>-'Debt &amp; Interest'!L14</f>
        <v/>
      </c>
      <c r="M18" s="34">
        <f>-'Debt &amp; Interest'!M14</f>
        <v/>
      </c>
    </row>
    <row r="19" ht="15" customHeight="1">
      <c r="B19" s="4" t="inlineStr">
        <is>
          <t xml:space="preserve">  Interest Paid</t>
        </is>
      </c>
      <c r="D19" s="34">
        <f>-'Debt &amp; Interest'!D20</f>
        <v/>
      </c>
      <c r="E19" s="34">
        <f>-'Debt &amp; Interest'!E20</f>
        <v/>
      </c>
      <c r="F19" s="34">
        <f>-'Debt &amp; Interest'!F20</f>
        <v/>
      </c>
      <c r="G19" s="34">
        <f>-'Debt &amp; Interest'!G20</f>
        <v/>
      </c>
      <c r="H19" s="34">
        <f>-'Debt &amp; Interest'!H20</f>
        <v/>
      </c>
      <c r="I19" s="34">
        <f>-'Debt &amp; Interest'!I20</f>
        <v/>
      </c>
      <c r="J19" s="34">
        <f>-'Debt &amp; Interest'!J20</f>
        <v/>
      </c>
      <c r="K19" s="34">
        <f>-'Debt &amp; Interest'!K20</f>
        <v/>
      </c>
      <c r="L19" s="34">
        <f>-'Debt &amp; Interest'!L20</f>
        <v/>
      </c>
      <c r="M19" s="34">
        <f>-'Debt &amp; Interest'!M20</f>
        <v/>
      </c>
    </row>
    <row r="20" ht="15" customHeight="1">
      <c r="B20" s="4" t="inlineStr">
        <is>
          <t xml:space="preserve">  Dividends Paid</t>
        </is>
      </c>
      <c r="D20" s="34">
        <f>-'Div &amp; Buyback'!D12</f>
        <v/>
      </c>
      <c r="E20" s="34">
        <f>-'Div &amp; Buyback'!E12</f>
        <v/>
      </c>
      <c r="F20" s="34">
        <f>-'Div &amp; Buyback'!F12</f>
        <v/>
      </c>
      <c r="G20" s="34">
        <f>-'Div &amp; Buyback'!G12</f>
        <v/>
      </c>
      <c r="H20" s="34">
        <f>-'Div &amp; Buyback'!H12</f>
        <v/>
      </c>
      <c r="I20" s="34">
        <f>-'Div &amp; Buyback'!I12</f>
        <v/>
      </c>
      <c r="J20" s="34">
        <f>-'Div &amp; Buyback'!J12</f>
        <v/>
      </c>
      <c r="K20" s="34">
        <f>-'Div &amp; Buyback'!K12</f>
        <v/>
      </c>
      <c r="L20" s="34">
        <f>-'Div &amp; Buyback'!L12</f>
        <v/>
      </c>
      <c r="M20" s="34">
        <f>-'Div &amp; Buyback'!M12</f>
        <v/>
      </c>
    </row>
    <row r="21" ht="15" customHeight="1">
      <c r="B21" s="4" t="inlineStr">
        <is>
          <t xml:space="preserve">  Share Buybacks</t>
        </is>
      </c>
      <c r="D21" s="34">
        <f>-'Div &amp; Buyback'!D13</f>
        <v/>
      </c>
      <c r="E21" s="34">
        <f>-'Div &amp; Buyback'!E13</f>
        <v/>
      </c>
      <c r="F21" s="34">
        <f>-'Div &amp; Buyback'!F13</f>
        <v/>
      </c>
      <c r="G21" s="34">
        <f>-'Div &amp; Buyback'!G13</f>
        <v/>
      </c>
      <c r="H21" s="34">
        <f>-'Div &amp; Buyback'!H13</f>
        <v/>
      </c>
      <c r="I21" s="34">
        <f>-'Div &amp; Buyback'!I13</f>
        <v/>
      </c>
      <c r="J21" s="34">
        <f>-'Div &amp; Buyback'!J13</f>
        <v/>
      </c>
      <c r="K21" s="34">
        <f>-'Div &amp; Buyback'!K13</f>
        <v/>
      </c>
      <c r="L21" s="34">
        <f>-'Div &amp; Buyback'!L13</f>
        <v/>
      </c>
      <c r="M21" s="34">
        <f>-'Div &amp; Buyback'!M13</f>
        <v/>
      </c>
    </row>
    <row r="22" ht="15" customHeight="1">
      <c r="B22" s="21" t="inlineStr">
        <is>
          <t>Cash Flow from Financing</t>
        </is>
      </c>
      <c r="C22" s="22" t="n"/>
      <c r="D22" s="23">
        <f>D17+D18+D19+D20+D21</f>
        <v/>
      </c>
      <c r="E22" s="23">
        <f>E17+E18+E19+E20+E21</f>
        <v/>
      </c>
      <c r="F22" s="23">
        <f>F17+F18+F19+F20+F21</f>
        <v/>
      </c>
      <c r="G22" s="23">
        <f>G17+G18+G19+G20+G21</f>
        <v/>
      </c>
      <c r="H22" s="23">
        <f>H17+H18+H19+H20+H21</f>
        <v/>
      </c>
      <c r="I22" s="23">
        <f>I17+I18+I19+I20+I21</f>
        <v/>
      </c>
      <c r="J22" s="23">
        <f>J17+J18+J19+J20+J21</f>
        <v/>
      </c>
      <c r="K22" s="23">
        <f>K17+K18+K19+K20+K21</f>
        <v/>
      </c>
      <c r="L22" s="23">
        <f>L17+L18+L19+L20+L21</f>
        <v/>
      </c>
      <c r="M22" s="23">
        <f>M17+M18+M19+M20+M21</f>
        <v/>
      </c>
    </row>
    <row r="24" ht="15" customHeight="1">
      <c r="B24" s="13" t="inlineStr">
        <is>
          <t>Free Cash Flow</t>
        </is>
      </c>
    </row>
    <row r="25" ht="15" customHeight="1">
      <c r="B25" s="30" t="inlineStr">
        <is>
          <t>Unlevered FCF (EBITDA-Tax-Capex-delta WC)</t>
        </is>
      </c>
      <c r="C25" s="32" t="n"/>
      <c r="D25" s="44">
        <f>D5+D6+D12+D7</f>
        <v/>
      </c>
      <c r="E25" s="44">
        <f>E5+E6+E12+E7</f>
        <v/>
      </c>
      <c r="F25" s="44">
        <f>F5+F6+F12+F7</f>
        <v/>
      </c>
      <c r="G25" s="44">
        <f>G5+G6+G12+G7</f>
        <v/>
      </c>
      <c r="H25" s="44">
        <f>H5+H6+H12+H7</f>
        <v/>
      </c>
      <c r="I25" s="44">
        <f>I5+I6+I12+I7</f>
        <v/>
      </c>
      <c r="J25" s="44">
        <f>J5+J6+J12+J7</f>
        <v/>
      </c>
      <c r="K25" s="44">
        <f>K5+K6+K12+K7</f>
        <v/>
      </c>
      <c r="L25" s="44">
        <f>L5+L6+L12+L7</f>
        <v/>
      </c>
      <c r="M25" s="44">
        <f>M5+M6+M12+M7</f>
        <v/>
      </c>
    </row>
    <row r="26" ht="15" customHeight="1">
      <c r="B26" s="4" t="inlineStr">
        <is>
          <t>Levered FCF (CFO+CFI)</t>
        </is>
      </c>
      <c r="D26" s="17">
        <f>D9+D14</f>
        <v/>
      </c>
      <c r="E26" s="17">
        <f>E9+E14</f>
        <v/>
      </c>
      <c r="F26" s="17">
        <f>F9+F14</f>
        <v/>
      </c>
      <c r="G26" s="17">
        <f>G9+G14</f>
        <v/>
      </c>
      <c r="H26" s="17">
        <f>H9+H14</f>
        <v/>
      </c>
      <c r="I26" s="17">
        <f>I9+I14</f>
        <v/>
      </c>
      <c r="J26" s="17">
        <f>J9+J14</f>
        <v/>
      </c>
      <c r="K26" s="17">
        <f>K9+K14</f>
        <v/>
      </c>
      <c r="L26" s="17">
        <f>L9+L14</f>
        <v/>
      </c>
      <c r="M26" s="17">
        <f>M9+M14</f>
        <v/>
      </c>
    </row>
    <row r="28" ht="15" customHeight="1">
      <c r="B28" s="13" t="inlineStr">
        <is>
          <t>Cash Movement</t>
        </is>
      </c>
    </row>
    <row r="29" ht="15" customHeight="1">
      <c r="B29" s="4" t="inlineStr">
        <is>
          <t>Opening Cash</t>
        </is>
      </c>
      <c r="C29" s="15" t="inlineStr">
        <is>
          <t>FY20 opening = FY19 closing</t>
        </is>
      </c>
      <c r="D29" s="16" t="n">
        <v>2900</v>
      </c>
      <c r="E29" s="17">
        <f>D31</f>
        <v/>
      </c>
      <c r="F29" s="17">
        <f>E31</f>
        <v/>
      </c>
      <c r="G29" s="17">
        <f>F31</f>
        <v/>
      </c>
      <c r="H29" s="17">
        <f>G31</f>
        <v/>
      </c>
      <c r="I29" s="17">
        <f>H31</f>
        <v/>
      </c>
      <c r="J29" s="17">
        <f>I31</f>
        <v/>
      </c>
      <c r="K29" s="17">
        <f>J31</f>
        <v/>
      </c>
      <c r="L29" s="17">
        <f>K31</f>
        <v/>
      </c>
      <c r="M29" s="17">
        <f>L31</f>
        <v/>
      </c>
    </row>
    <row r="30" ht="15" customHeight="1">
      <c r="B30" s="14" t="inlineStr">
        <is>
          <t>Net Cash Flow</t>
        </is>
      </c>
      <c r="D30" s="39">
        <f>D9+D14+D22</f>
        <v/>
      </c>
      <c r="E30" s="39">
        <f>E9+E14+E22</f>
        <v/>
      </c>
      <c r="F30" s="39">
        <f>F9+F14+F22</f>
        <v/>
      </c>
      <c r="G30" s="39">
        <f>G9+G14+G22</f>
        <v/>
      </c>
      <c r="H30" s="39">
        <f>H9+H14+H22</f>
        <v/>
      </c>
      <c r="I30" s="39">
        <f>I9+I14+I22</f>
        <v/>
      </c>
      <c r="J30" s="39">
        <f>J9+J14+J22</f>
        <v/>
      </c>
      <c r="K30" s="39">
        <f>K9+K14+K22</f>
        <v/>
      </c>
      <c r="L30" s="39">
        <f>L9+L14+L22</f>
        <v/>
      </c>
      <c r="M30" s="39">
        <f>M9+M14+M22</f>
        <v/>
      </c>
    </row>
    <row r="31" ht="15" customHeight="1">
      <c r="B31" s="27" t="inlineStr">
        <is>
          <t>Closing Cash</t>
        </is>
      </c>
      <c r="C31" s="28" t="n"/>
      <c r="D31" s="40">
        <f>D29+D30</f>
        <v/>
      </c>
      <c r="E31" s="40">
        <f>E29+E30</f>
        <v/>
      </c>
      <c r="F31" s="40">
        <f>F29+F30</f>
        <v/>
      </c>
      <c r="G31" s="40">
        <f>G29+G30</f>
        <v/>
      </c>
      <c r="H31" s="40">
        <f>H29+H30</f>
        <v/>
      </c>
      <c r="I31" s="40">
        <f>I29+I30</f>
        <v/>
      </c>
      <c r="J31" s="40">
        <f>J29+J30</f>
        <v/>
      </c>
      <c r="K31" s="40">
        <f>K29+K30</f>
        <v/>
      </c>
      <c r="L31" s="40">
        <f>L29+L30</f>
        <v/>
      </c>
      <c r="M31" s="40">
        <f>M29+M30</f>
        <v/>
      </c>
    </row>
    <row r="32" ht="15" customHeight="1">
      <c r="B32" s="52" t="inlineStr">
        <is>
          <t>AUDIT: CF Cash vs BS Cash (should be 0)</t>
        </is>
      </c>
      <c r="D32" s="39">
        <f>D31-'Balance Sheet'!D5</f>
        <v/>
      </c>
      <c r="E32" s="39">
        <f>E31-'Balance Sheet'!E5</f>
        <v/>
      </c>
      <c r="F32" s="39">
        <f>F31-'Balance Sheet'!F5</f>
        <v/>
      </c>
      <c r="G32" s="39">
        <f>G31-'Balance Sheet'!G5</f>
        <v/>
      </c>
      <c r="H32" s="39">
        <f>H31-'Balance Sheet'!H5</f>
        <v/>
      </c>
      <c r="I32" s="39">
        <f>I31-'Balance Sheet'!I5</f>
        <v/>
      </c>
      <c r="J32" s="39">
        <f>J31-'Balance Sheet'!J5</f>
        <v/>
      </c>
      <c r="K32" s="39">
        <f>K31-'Balance Sheet'!K5</f>
        <v/>
      </c>
      <c r="L32" s="39">
        <f>L31-'Balance Sheet'!L5</f>
        <v/>
      </c>
      <c r="M32" s="39">
        <f>M31-'Balance Sheet'!M5</f>
        <v/>
      </c>
    </row>
  </sheetData>
  <mergeCells count="6">
    <mergeCell ref="B24:M24"/>
    <mergeCell ref="B16:M16"/>
    <mergeCell ref="B11:M11"/>
    <mergeCell ref="B28:M28"/>
    <mergeCell ref="B1:M1"/>
    <mergeCell ref="B4:M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M40"/>
  <sheetViews>
    <sheetView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22" customHeight="1">
      <c r="B1" s="10" t="inlineStr">
        <is>
          <t>DCF VALUATION   (£m; mid-year convention; Gordon Growth TV)</t>
        </is>
      </c>
    </row>
    <row r="2">
      <c r="I2" s="53" t="inlineStr">
        <is>
          <t>FY2025E</t>
        </is>
      </c>
      <c r="J2" s="53" t="inlineStr">
        <is>
          <t>FY2026E</t>
        </is>
      </c>
      <c r="K2" s="53" t="inlineStr">
        <is>
          <t>FY2027E</t>
        </is>
      </c>
      <c r="L2" s="53" t="inlineStr">
        <is>
          <t>FY2028E</t>
        </is>
      </c>
      <c r="M2" s="53" t="inlineStr">
        <is>
          <t>FY2029E</t>
        </is>
      </c>
    </row>
    <row r="4" ht="15" customHeight="1">
      <c r="B4" s="13" t="inlineStr">
        <is>
          <t>Unlevered Free Cash Flow Build</t>
        </is>
      </c>
    </row>
    <row r="5" ht="15" customHeight="1">
      <c r="B5" s="4" t="inlineStr">
        <is>
          <t>EBITDA</t>
        </is>
      </c>
      <c r="C5" s="15" t="inlineStr">
        <is>
          <t>From Income Statement</t>
        </is>
      </c>
      <c r="I5" s="34">
        <f>'Income Statement'!I10</f>
        <v/>
      </c>
      <c r="J5" s="34">
        <f>'Income Statement'!J10</f>
        <v/>
      </c>
      <c r="K5" s="34">
        <f>'Income Statement'!K10</f>
        <v/>
      </c>
      <c r="L5" s="34">
        <f>'Income Statement'!L10</f>
        <v/>
      </c>
      <c r="M5" s="34">
        <f>'Income Statement'!M10</f>
        <v/>
      </c>
    </row>
    <row r="6" ht="15" customHeight="1">
      <c r="B6" s="4" t="inlineStr">
        <is>
          <t xml:space="preserve">  Less: Tax on EBIT (NOPAT adj.)</t>
        </is>
      </c>
      <c r="C6" s="15" t="inlineStr">
        <is>
          <t>EBIT x tax rate</t>
        </is>
      </c>
      <c r="I6" s="17">
        <f>-'Income Statement'!I15*'Assumptions'!I21</f>
        <v/>
      </c>
      <c r="J6" s="17">
        <f>-'Income Statement'!J15*'Assumptions'!J21</f>
        <v/>
      </c>
      <c r="K6" s="17">
        <f>-'Income Statement'!K15*'Assumptions'!K21</f>
        <v/>
      </c>
      <c r="L6" s="17">
        <f>-'Income Statement'!L15*'Assumptions'!L21</f>
        <v/>
      </c>
      <c r="M6" s="17">
        <f>-'Income Statement'!M15*'Assumptions'!M21</f>
        <v/>
      </c>
    </row>
    <row r="7" ht="15" customHeight="1">
      <c r="B7" s="4" t="inlineStr">
        <is>
          <t xml:space="preserve">  Less: Capex</t>
        </is>
      </c>
      <c r="I7" s="34">
        <f>-'Capex &amp; DA'!I6</f>
        <v/>
      </c>
      <c r="J7" s="34">
        <f>-'Capex &amp; DA'!J6</f>
        <v/>
      </c>
      <c r="K7" s="34">
        <f>-'Capex &amp; DA'!K6</f>
        <v/>
      </c>
      <c r="L7" s="34">
        <f>-'Capex &amp; DA'!L6</f>
        <v/>
      </c>
      <c r="M7" s="34">
        <f>-'Capex &amp; DA'!M6</f>
        <v/>
      </c>
    </row>
    <row r="8" ht="15" customHeight="1">
      <c r="B8" s="4" t="inlineStr">
        <is>
          <t xml:space="preserve">  Less: Change in WC</t>
        </is>
      </c>
      <c r="I8" s="34">
        <f>-'WC Schedule'!I19</f>
        <v/>
      </c>
      <c r="J8" s="34">
        <f>-'WC Schedule'!J19</f>
        <v/>
      </c>
      <c r="K8" s="34">
        <f>-'WC Schedule'!K19</f>
        <v/>
      </c>
      <c r="L8" s="34">
        <f>-'WC Schedule'!L19</f>
        <v/>
      </c>
      <c r="M8" s="34">
        <f>-'WC Schedule'!M19</f>
        <v/>
      </c>
    </row>
    <row r="9" ht="15" customHeight="1">
      <c r="B9" s="21" t="inlineStr">
        <is>
          <t>Unlevered FCF</t>
        </is>
      </c>
      <c r="C9" s="22" t="n"/>
      <c r="D9" s="22" t="n"/>
      <c r="E9" s="22" t="n"/>
      <c r="F9" s="22" t="n"/>
      <c r="G9" s="22" t="n"/>
      <c r="H9" s="22" t="n"/>
      <c r="I9" s="23">
        <f>I5+I6+I7+I8</f>
        <v/>
      </c>
      <c r="J9" s="23">
        <f>J5+J6+J7+J8</f>
        <v/>
      </c>
      <c r="K9" s="23">
        <f>K5+K6+K7+K8</f>
        <v/>
      </c>
      <c r="L9" s="23">
        <f>L5+L6+L7+L8</f>
        <v/>
      </c>
      <c r="M9" s="23">
        <f>M5+M6+M7+M8</f>
        <v/>
      </c>
    </row>
    <row r="11" ht="15" customHeight="1">
      <c r="B11" s="13" t="inlineStr">
        <is>
          <t>Discounting (mid-year convention)</t>
        </is>
      </c>
    </row>
    <row r="12" ht="15" customHeight="1">
      <c r="B12" s="4" t="inlineStr">
        <is>
          <t>WACC</t>
        </is>
      </c>
      <c r="C12" s="15" t="inlineStr">
        <is>
          <t>From Assumptions</t>
        </is>
      </c>
      <c r="I12" s="34">
        <f>'Assumptions'!I33</f>
        <v/>
      </c>
      <c r="J12" s="34">
        <f>'Assumptions'!I33</f>
        <v/>
      </c>
      <c r="K12" s="34">
        <f>'Assumptions'!I33</f>
        <v/>
      </c>
      <c r="L12" s="34">
        <f>'Assumptions'!I33</f>
        <v/>
      </c>
      <c r="M12" s="34">
        <f>'Assumptions'!I33</f>
        <v/>
      </c>
    </row>
    <row r="13" ht="15" customHeight="1">
      <c r="B13" s="4" t="inlineStr">
        <is>
          <t>Discount Period (mid-year)</t>
        </is>
      </c>
      <c r="C13" s="15" t="inlineStr">
        <is>
          <t>0.5, 1.5, 2.5, 3.5, 4.5</t>
        </is>
      </c>
      <c r="I13" s="26" t="n">
        <v>0.5</v>
      </c>
      <c r="J13" s="26" t="n">
        <v>1.5</v>
      </c>
      <c r="K13" s="26" t="n">
        <v>2.5</v>
      </c>
      <c r="L13" s="26" t="n">
        <v>3.5</v>
      </c>
      <c r="M13" s="26" t="n">
        <v>4.5</v>
      </c>
    </row>
    <row r="14" ht="15" customHeight="1">
      <c r="B14" s="4" t="inlineStr">
        <is>
          <t>Discount Factor</t>
        </is>
      </c>
      <c r="I14" s="54">
        <f>1/(1+I12)^I13</f>
        <v/>
      </c>
      <c r="J14" s="54">
        <f>1/(1+J12)^J13</f>
        <v/>
      </c>
      <c r="K14" s="54">
        <f>1/(1+K12)^K13</f>
        <v/>
      </c>
      <c r="L14" s="54">
        <f>1/(1+L12)^L13</f>
        <v/>
      </c>
      <c r="M14" s="54">
        <f>1/(1+M12)^M13</f>
        <v/>
      </c>
    </row>
    <row r="15" ht="15" customHeight="1">
      <c r="B15" s="30" t="inlineStr">
        <is>
          <t>PV of UFCF</t>
        </is>
      </c>
      <c r="C15" s="32" t="n"/>
      <c r="D15" s="32" t="n"/>
      <c r="E15" s="32" t="n"/>
      <c r="F15" s="32" t="n"/>
      <c r="G15" s="32" t="n"/>
      <c r="H15" s="32" t="n"/>
      <c r="I15" s="44">
        <f>I9*I14</f>
        <v/>
      </c>
      <c r="J15" s="44">
        <f>J9*J14</f>
        <v/>
      </c>
      <c r="K15" s="44">
        <f>K9*K14</f>
        <v/>
      </c>
      <c r="L15" s="44">
        <f>L9*L14</f>
        <v/>
      </c>
      <c r="M15" s="44">
        <f>M9*M14</f>
        <v/>
      </c>
    </row>
    <row r="16" ht="15" customHeight="1">
      <c r="B16" s="14" t="inlineStr">
        <is>
          <t>Sum of PV(FCF)</t>
        </is>
      </c>
      <c r="I16" s="39">
        <f>I15+J15+K15+L15+M15</f>
        <v/>
      </c>
    </row>
    <row r="18" ht="15" customHeight="1">
      <c r="B18" s="13" t="inlineStr">
        <is>
          <t>Terminal Value (Gordon Growth Model)</t>
        </is>
      </c>
    </row>
    <row r="19" ht="15" customHeight="1">
      <c r="B19" s="4" t="inlineStr">
        <is>
          <t>Terminal Growth Rate</t>
        </is>
      </c>
      <c r="C19" s="15" t="inlineStr">
        <is>
          <t>From Assumptions</t>
        </is>
      </c>
      <c r="I19" s="34">
        <f>'Assumptions'!I36</f>
        <v/>
      </c>
    </row>
    <row r="20" ht="15" customHeight="1">
      <c r="B20" s="14" t="inlineStr">
        <is>
          <t>Terminal Value  [UFCF5 x (1+g)/(WACC-g)]</t>
        </is>
      </c>
      <c r="I20" s="39">
        <f>M9*(1+I19)/(I12-I19)</f>
        <v/>
      </c>
    </row>
    <row r="21" ht="15" customHeight="1">
      <c r="B21" s="30" t="inlineStr">
        <is>
          <t>PV of Terminal Value</t>
        </is>
      </c>
      <c r="C21" s="32" t="n"/>
      <c r="D21" s="32" t="n"/>
      <c r="E21" s="32" t="n"/>
      <c r="F21" s="32" t="n"/>
      <c r="G21" s="32" t="n"/>
      <c r="H21" s="32" t="n"/>
      <c r="I21" s="44">
        <f>I20*M14</f>
        <v/>
      </c>
      <c r="J21" s="32" t="n"/>
      <c r="K21" s="32" t="n"/>
      <c r="L21" s="32" t="n"/>
      <c r="M21" s="32" t="n"/>
    </row>
    <row r="23" ht="15" customHeight="1">
      <c r="B23" s="13" t="inlineStr">
        <is>
          <t>Enterprise Value Bridge to Equity Value</t>
        </is>
      </c>
    </row>
    <row r="24" ht="15" customHeight="1">
      <c r="B24" s="30" t="inlineStr">
        <is>
          <t>Enterprise Value</t>
        </is>
      </c>
      <c r="C24" s="32" t="n"/>
      <c r="D24" s="32" t="n"/>
      <c r="E24" s="32" t="n"/>
      <c r="F24" s="32" t="n"/>
      <c r="G24" s="32" t="n"/>
      <c r="H24" s="32" t="n"/>
      <c r="I24" s="44">
        <f>I16+I21</f>
        <v/>
      </c>
      <c r="J24" s="32" t="n"/>
      <c r="K24" s="32" t="n"/>
      <c r="L24" s="32" t="n"/>
      <c r="M24" s="32" t="n"/>
    </row>
    <row r="25" ht="15" customHeight="1">
      <c r="B25" s="4" t="inlineStr">
        <is>
          <t xml:space="preserve">  Plus: Cash (FY25E)</t>
        </is>
      </c>
      <c r="C25" s="15" t="inlineStr">
        <is>
          <t>BS FY25E cash balance</t>
        </is>
      </c>
      <c r="I25" s="34">
        <f>'Balance Sheet'!I5</f>
        <v/>
      </c>
    </row>
    <row r="26" ht="15" customHeight="1">
      <c r="B26" s="4" t="inlineStr">
        <is>
          <t xml:space="preserve">  Less: Gross Debt (exc leases)</t>
        </is>
      </c>
      <c r="C26" s="15" t="inlineStr">
        <is>
          <t>Debt Schedule FY25E closing</t>
        </is>
      </c>
      <c r="I26" s="17">
        <f>-'Debt &amp; Interest'!I7</f>
        <v/>
      </c>
    </row>
    <row r="27" ht="15" customHeight="1">
      <c r="B27" s="4" t="inlineStr">
        <is>
          <t xml:space="preserve">  Less: Lease Liabilities</t>
        </is>
      </c>
      <c r="C27" s="15" t="inlineStr">
        <is>
          <t>Debt Schedule FY25E closing</t>
        </is>
      </c>
      <c r="I27" s="17">
        <f>-'Debt &amp; Interest'!I15</f>
        <v/>
      </c>
    </row>
    <row r="28" ht="15" customHeight="1">
      <c r="B28" s="55" t="inlineStr">
        <is>
          <t>Equity Value (£m)</t>
        </is>
      </c>
      <c r="C28" s="56" t="n"/>
      <c r="D28" s="56" t="n"/>
      <c r="E28" s="56" t="n"/>
      <c r="F28" s="56" t="n"/>
      <c r="G28" s="56" t="n"/>
      <c r="H28" s="56" t="n"/>
      <c r="I28" s="57">
        <f>I24+I25+I26+I27</f>
        <v/>
      </c>
      <c r="J28" s="56" t="n"/>
      <c r="K28" s="56" t="n"/>
      <c r="L28" s="56" t="n"/>
      <c r="M28" s="56" t="n"/>
    </row>
    <row r="29" ht="15" customHeight="1">
      <c r="B29" s="4" t="inlineStr">
        <is>
          <t>Diluted Shares (m)</t>
        </is>
      </c>
      <c r="C29" s="15" t="inlineStr">
        <is>
          <t>FY25E from Div &amp; Buyback</t>
        </is>
      </c>
      <c r="I29" s="34">
        <f>'Div &amp; Buyback'!I8</f>
        <v/>
      </c>
    </row>
    <row r="30" ht="15" customHeight="1">
      <c r="B30" s="55" t="inlineStr">
        <is>
          <t>Implied Share Price (pence)</t>
        </is>
      </c>
      <c r="C30" s="56" t="n"/>
      <c r="D30" s="56" t="n"/>
      <c r="E30" s="56" t="n"/>
      <c r="F30" s="56" t="n"/>
      <c r="G30" s="56" t="n"/>
      <c r="H30" s="56" t="n"/>
      <c r="I30" s="58">
        <f>I28/I29*100</f>
        <v/>
      </c>
      <c r="J30" s="56" t="n"/>
      <c r="K30" s="56" t="n"/>
      <c r="L30" s="56" t="n"/>
      <c r="M30" s="56" t="n"/>
    </row>
    <row r="31" ht="15" customHeight="1">
      <c r="B31" s="4" t="inlineStr">
        <is>
          <t>Current Share Price (pence)</t>
        </is>
      </c>
      <c r="I31" s="26" t="n">
        <v>2500</v>
      </c>
    </row>
    <row r="32" ht="15" customHeight="1">
      <c r="B32" s="14" t="inlineStr">
        <is>
          <t>Upside / (Downside) %</t>
        </is>
      </c>
      <c r="I32" s="59">
        <f>(I30-I31)/I31</f>
        <v/>
      </c>
    </row>
    <row r="34" ht="15" customHeight="1">
      <c r="B34" s="13" t="inlineStr">
        <is>
          <t>Sensitivity: Implied Share Price (p) by WACC x TGR</t>
        </is>
      </c>
    </row>
    <row r="35" ht="15" customHeight="1">
      <c r="B35" s="14" t="inlineStr">
        <is>
          <t>WACC -&gt;</t>
        </is>
      </c>
      <c r="C35" s="15" t="inlineStr">
        <is>
          <t>WACC across top; TGR down left side</t>
        </is>
      </c>
      <c r="I35" s="60" t="n">
        <v>0.05</v>
      </c>
      <c r="J35" s="60" t="n">
        <v>0.055</v>
      </c>
      <c r="K35" s="60" t="n">
        <v>0.062</v>
      </c>
      <c r="L35" s="60" t="n">
        <v>0.07000000000000001</v>
      </c>
      <c r="M35" s="60" t="n">
        <v>0.075</v>
      </c>
    </row>
    <row r="36" ht="15" customHeight="1">
      <c r="B36" s="52" t="inlineStr">
        <is>
          <t>TGR (down)</t>
        </is>
      </c>
      <c r="C36" s="61" t="n">
        <v>0.015</v>
      </c>
      <c r="I36" s="43">
        <f>((I9/(1+0.05)^0.5+J9/(1+0.05)^1.5+K9/(1+0.05)^2.5+L9/(1+0.05)^3.5+M9/(1+0.05)^4.5)+((M9*(1+0.015)/(0.05-0.015))/(1+0.05)^4.5)+I25+I26+I27)/I29*100</f>
        <v/>
      </c>
      <c r="J36" s="43">
        <f>((I9/(1+0.055)^0.5+J9/(1+0.055)^1.5+K9/(1+0.055)^2.5+L9/(1+0.055)^3.5+M9/(1+0.055)^4.5)+((M9*(1+0.015)/(0.055-0.015))/(1+0.055)^4.5)+I25+I26+I27)/I29*100</f>
        <v/>
      </c>
      <c r="K36" s="43">
        <f>((I9/(1+0.062)^0.5+J9/(1+0.062)^1.5+K9/(1+0.062)^2.5+L9/(1+0.062)^3.5+M9/(1+0.062)^4.5)+((M9*(1+0.015)/(0.062-0.015))/(1+0.062)^4.5)+I25+I26+I27)/I29*100</f>
        <v/>
      </c>
      <c r="L36" s="43">
        <f>((I9/(1+0.07)^0.5+J9/(1+0.07)^1.5+K9/(1+0.07)^2.5+L9/(1+0.07)^3.5+M9/(1+0.07)^4.5)+((M9*(1+0.015)/(0.07-0.015))/(1+0.07)^4.5)+I25+I26+I27)/I29*100</f>
        <v/>
      </c>
      <c r="M36" s="43">
        <f>((I9/(1+0.075)^0.5+J9/(1+0.075)^1.5+K9/(1+0.075)^2.5+L9/(1+0.075)^3.5+M9/(1+0.075)^4.5)+((M9*(1+0.015)/(0.075-0.015))/(1+0.075)^4.5)+I25+I26+I27)/I29*100</f>
        <v/>
      </c>
    </row>
    <row r="37">
      <c r="C37" s="61" t="n">
        <v>0.02</v>
      </c>
      <c r="I37" s="43">
        <f>((I9/(1+0.05)^0.5+J9/(1+0.05)^1.5+K9/(1+0.05)^2.5+L9/(1+0.05)^3.5+M9/(1+0.05)^4.5)+((M9*(1+0.02)/(0.05-0.02))/(1+0.05)^4.5)+I25+I26+I27)/I29*100</f>
        <v/>
      </c>
      <c r="J37" s="43">
        <f>((I9/(1+0.055)^0.5+J9/(1+0.055)^1.5+K9/(1+0.055)^2.5+L9/(1+0.055)^3.5+M9/(1+0.055)^4.5)+((M9*(1+0.02)/(0.055-0.02))/(1+0.055)^4.5)+I25+I26+I27)/I29*100</f>
        <v/>
      </c>
      <c r="K37" s="43">
        <f>((I9/(1+0.062)^0.5+J9/(1+0.062)^1.5+K9/(1+0.062)^2.5+L9/(1+0.062)^3.5+M9/(1+0.062)^4.5)+((M9*(1+0.02)/(0.062-0.02))/(1+0.062)^4.5)+I25+I26+I27)/I29*100</f>
        <v/>
      </c>
      <c r="L37" s="43">
        <f>((I9/(1+0.07)^0.5+J9/(1+0.07)^1.5+K9/(1+0.07)^2.5+L9/(1+0.07)^3.5+M9/(1+0.07)^4.5)+((M9*(1+0.02)/(0.07-0.02))/(1+0.07)^4.5)+I25+I26+I27)/I29*100</f>
        <v/>
      </c>
      <c r="M37" s="43">
        <f>((I9/(1+0.075)^0.5+J9/(1+0.075)^1.5+K9/(1+0.075)^2.5+L9/(1+0.075)^3.5+M9/(1+0.075)^4.5)+((M9*(1+0.02)/(0.075-0.02))/(1+0.075)^4.5)+I25+I26+I27)/I29*100</f>
        <v/>
      </c>
    </row>
    <row r="38">
      <c r="C38" s="61" t="n">
        <v>0.025</v>
      </c>
      <c r="I38" s="43">
        <f>((I9/(1+0.05)^0.5+J9/(1+0.05)^1.5+K9/(1+0.05)^2.5+L9/(1+0.05)^3.5+M9/(1+0.05)^4.5)+((M9*(1+0.025)/(0.05-0.025))/(1+0.05)^4.5)+I25+I26+I27)/I29*100</f>
        <v/>
      </c>
      <c r="J38" s="43">
        <f>((I9/(1+0.055)^0.5+J9/(1+0.055)^1.5+K9/(1+0.055)^2.5+L9/(1+0.055)^3.5+M9/(1+0.055)^4.5)+((M9*(1+0.025)/(0.055-0.025))/(1+0.055)^4.5)+I25+I26+I27)/I29*100</f>
        <v/>
      </c>
      <c r="K38" s="43">
        <f>((I9/(1+0.062)^0.5+J9/(1+0.062)^1.5+K9/(1+0.062)^2.5+L9/(1+0.062)^3.5+M9/(1+0.062)^4.5)+((M9*(1+0.025)/(0.062-0.025))/(1+0.062)^4.5)+I25+I26+I27)/I29*100</f>
        <v/>
      </c>
      <c r="L38" s="43">
        <f>((I9/(1+0.07)^0.5+J9/(1+0.07)^1.5+K9/(1+0.07)^2.5+L9/(1+0.07)^3.5+M9/(1+0.07)^4.5)+((M9*(1+0.025)/(0.07-0.025))/(1+0.07)^4.5)+I25+I26+I27)/I29*100</f>
        <v/>
      </c>
      <c r="M38" s="43">
        <f>((I9/(1+0.075)^0.5+J9/(1+0.075)^1.5+K9/(1+0.075)^2.5+L9/(1+0.075)^3.5+M9/(1+0.075)^4.5)+((M9*(1+0.025)/(0.075-0.025))/(1+0.075)^4.5)+I25+I26+I27)/I29*100</f>
        <v/>
      </c>
    </row>
    <row r="39">
      <c r="C39" s="61" t="n">
        <v>0.03</v>
      </c>
      <c r="I39" s="43">
        <f>((I9/(1+0.05)^0.5+J9/(1+0.05)^1.5+K9/(1+0.05)^2.5+L9/(1+0.05)^3.5+M9/(1+0.05)^4.5)+((M9*(1+0.03)/(0.05-0.03))/(1+0.05)^4.5)+I25+I26+I27)/I29*100</f>
        <v/>
      </c>
      <c r="J39" s="43">
        <f>((I9/(1+0.055)^0.5+J9/(1+0.055)^1.5+K9/(1+0.055)^2.5+L9/(1+0.055)^3.5+M9/(1+0.055)^4.5)+((M9*(1+0.03)/(0.055-0.03))/(1+0.055)^4.5)+I25+I26+I27)/I29*100</f>
        <v/>
      </c>
      <c r="K39" s="43">
        <f>((I9/(1+0.062)^0.5+J9/(1+0.062)^1.5+K9/(1+0.062)^2.5+L9/(1+0.062)^3.5+M9/(1+0.062)^4.5)+((M9*(1+0.03)/(0.062-0.03))/(1+0.062)^4.5)+I25+I26+I27)/I29*100</f>
        <v/>
      </c>
      <c r="L39" s="43">
        <f>((I9/(1+0.07)^0.5+J9/(1+0.07)^1.5+K9/(1+0.07)^2.5+L9/(1+0.07)^3.5+M9/(1+0.07)^4.5)+((M9*(1+0.03)/(0.07-0.03))/(1+0.07)^4.5)+I25+I26+I27)/I29*100</f>
        <v/>
      </c>
      <c r="M39" s="43">
        <f>((I9/(1+0.075)^0.5+J9/(1+0.075)^1.5+K9/(1+0.075)^2.5+L9/(1+0.075)^3.5+M9/(1+0.075)^4.5)+((M9*(1+0.03)/(0.075-0.03))/(1+0.075)^4.5)+I25+I26+I27)/I29*100</f>
        <v/>
      </c>
    </row>
    <row r="40">
      <c r="C40" s="61" t="n">
        <v>0.035</v>
      </c>
      <c r="I40" s="43">
        <f>((I9/(1+0.05)^0.5+J9/(1+0.05)^1.5+K9/(1+0.05)^2.5+L9/(1+0.05)^3.5+M9/(1+0.05)^4.5)+((M9*(1+0.035)/(0.05-0.035))/(1+0.05)^4.5)+I25+I26+I27)/I29*100</f>
        <v/>
      </c>
      <c r="J40" s="43">
        <f>((I9/(1+0.055)^0.5+J9/(1+0.055)^1.5+K9/(1+0.055)^2.5+L9/(1+0.055)^3.5+M9/(1+0.055)^4.5)+((M9*(1+0.035)/(0.055-0.035))/(1+0.055)^4.5)+I25+I26+I27)/I29*100</f>
        <v/>
      </c>
      <c r="K40" s="43">
        <f>((I9/(1+0.062)^0.5+J9/(1+0.062)^1.5+K9/(1+0.062)^2.5+L9/(1+0.062)^3.5+M9/(1+0.062)^4.5)+((M9*(1+0.035)/(0.062-0.035))/(1+0.062)^4.5)+I25+I26+I27)/I29*100</f>
        <v/>
      </c>
      <c r="L40" s="43">
        <f>((I9/(1+0.07)^0.5+J9/(1+0.07)^1.5+K9/(1+0.07)^2.5+L9/(1+0.07)^3.5+M9/(1+0.07)^4.5)+((M9*(1+0.035)/(0.07-0.035))/(1+0.07)^4.5)+I25+I26+I27)/I29*100</f>
        <v/>
      </c>
      <c r="M40" s="43">
        <f>((I9/(1+0.075)^0.5+J9/(1+0.075)^1.5+K9/(1+0.075)^2.5+L9/(1+0.075)^3.5+M9/(1+0.075)^4.5)+((M9*(1+0.035)/(0.075-0.035))/(1+0.075)^4.5)+I25+I26+I27)/I29*100</f>
        <v/>
      </c>
    </row>
  </sheetData>
  <mergeCells count="6">
    <mergeCell ref="B34:M34"/>
    <mergeCell ref="B11:M11"/>
    <mergeCell ref="B23:M23"/>
    <mergeCell ref="B18:M18"/>
    <mergeCell ref="B1:M1"/>
    <mergeCell ref="B4:M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M22"/>
  <sheetViews>
    <sheetView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22" customHeight="1">
      <c r="B1" s="10" t="inlineStr">
        <is>
          <t>TRADING COMPS — GLOBAL SPIRITS PEERS</t>
        </is>
      </c>
    </row>
    <row r="2">
      <c r="B2" s="62" t="inlineStr">
        <is>
          <t>Source: FactSet consensus as of 31 March 2025 | LTM multiples, NTM P/E</t>
        </is>
      </c>
    </row>
    <row r="3">
      <c r="B3" s="63" t="inlineStr">
        <is>
          <t>Company</t>
        </is>
      </c>
      <c r="C3" s="63" t="inlineStr">
        <is>
          <t>Ticker</t>
        </is>
      </c>
      <c r="D3" s="63" t="inlineStr">
        <is>
          <t>Mkt Cap (£bn)</t>
        </is>
      </c>
      <c r="E3" s="63" t="inlineStr">
        <is>
          <t>EV (£bn)</t>
        </is>
      </c>
      <c r="F3" s="63" t="inlineStr">
        <is>
          <t>Rev (£bn)</t>
        </is>
      </c>
      <c r="G3" s="63" t="inlineStr">
        <is>
          <t>EBITDA (£m)</t>
        </is>
      </c>
      <c r="H3" s="63" t="inlineStr">
        <is>
          <t>EV/EBITDA</t>
        </is>
      </c>
      <c r="I3" s="63" t="inlineStr">
        <is>
          <t>EV/Revenue</t>
        </is>
      </c>
      <c r="J3" s="63" t="inlineStr">
        <is>
          <t>P/E (fwd)</t>
        </is>
      </c>
      <c r="K3" s="63" t="inlineStr">
        <is>
          <t>Div Yield</t>
        </is>
      </c>
    </row>
    <row r="4">
      <c r="B4" s="13" t="inlineStr">
        <is>
          <t>Diageo PLC</t>
        </is>
      </c>
      <c r="C4" s="13" t="inlineStr">
        <is>
          <t>DGE LN</t>
        </is>
      </c>
      <c r="D4" s="64" t="n">
        <v>55.8</v>
      </c>
      <c r="E4" s="64" t="n">
        <v>72.5</v>
      </c>
      <c r="F4" s="64" t="n">
        <v>15.8</v>
      </c>
      <c r="G4" s="64" t="n">
        <v>5380</v>
      </c>
      <c r="H4" s="65" t="n">
        <v>13.5</v>
      </c>
      <c r="I4" s="64" t="inlineStr">
        <is>
          <t>4.59x</t>
        </is>
      </c>
      <c r="J4" s="64" t="n">
        <v>19.2</v>
      </c>
      <c r="K4" s="66" t="n">
        <v>3.3</v>
      </c>
    </row>
    <row r="5">
      <c r="B5" s="67" t="inlineStr">
        <is>
          <t>Pernod Ricard</t>
        </is>
      </c>
      <c r="C5" s="67" t="inlineStr">
        <is>
          <t>RI FP</t>
        </is>
      </c>
      <c r="D5" s="68" t="n">
        <v>32.5</v>
      </c>
      <c r="E5" s="68" t="n">
        <v>44.8</v>
      </c>
      <c r="F5" s="68" t="n">
        <v>11.6</v>
      </c>
      <c r="G5" s="68" t="n">
        <v>3420</v>
      </c>
      <c r="H5" s="69" t="n">
        <v>13.1</v>
      </c>
      <c r="I5" s="68" t="inlineStr">
        <is>
          <t>3.86x</t>
        </is>
      </c>
      <c r="J5" s="68" t="n">
        <v>17.8</v>
      </c>
      <c r="K5" s="70" t="n">
        <v>3.8</v>
      </c>
    </row>
    <row r="6">
      <c r="B6" s="67" t="inlineStr">
        <is>
          <t>Brown-Forman</t>
        </is>
      </c>
      <c r="C6" s="67" t="inlineStr">
        <is>
          <t>BF.B US</t>
        </is>
      </c>
      <c r="D6" s="68" t="n">
        <v>21.2</v>
      </c>
      <c r="E6" s="68" t="n">
        <v>23.8</v>
      </c>
      <c r="F6" s="68" t="n">
        <v>4.1</v>
      </c>
      <c r="G6" s="68" t="n">
        <v>1350</v>
      </c>
      <c r="H6" s="69" t="n">
        <v>17.6</v>
      </c>
      <c r="I6" s="68" t="inlineStr">
        <is>
          <t>5.80x</t>
        </is>
      </c>
      <c r="J6" s="68" t="n">
        <v>25.4</v>
      </c>
      <c r="K6" s="70" t="n">
        <v>1.8</v>
      </c>
    </row>
    <row r="7">
      <c r="B7" s="67" t="inlineStr">
        <is>
          <t>Remy Cointreau</t>
        </is>
      </c>
      <c r="C7" s="67" t="inlineStr">
        <is>
          <t>RCO FP</t>
        </is>
      </c>
      <c r="D7" s="68" t="n">
        <v>5.8</v>
      </c>
      <c r="E7" s="68" t="n">
        <v>7.2</v>
      </c>
      <c r="F7" s="68" t="n">
        <v>1.2</v>
      </c>
      <c r="G7" s="68" t="n">
        <v>310</v>
      </c>
      <c r="H7" s="69" t="n">
        <v>23.2</v>
      </c>
      <c r="I7" s="68" t="inlineStr">
        <is>
          <t>6.00x</t>
        </is>
      </c>
      <c r="J7" s="68" t="n">
        <v>28.5</v>
      </c>
      <c r="K7" s="70" t="n">
        <v>2.5</v>
      </c>
    </row>
    <row r="8">
      <c r="B8" s="67" t="inlineStr">
        <is>
          <t>Campari</t>
        </is>
      </c>
      <c r="C8" s="67" t="inlineStr">
        <is>
          <t>CPR IM</t>
        </is>
      </c>
      <c r="D8" s="68" t="n">
        <v>8.6</v>
      </c>
      <c r="E8" s="68" t="n">
        <v>11.2</v>
      </c>
      <c r="F8" s="68" t="n">
        <v>2.9</v>
      </c>
      <c r="G8" s="68" t="n">
        <v>680</v>
      </c>
      <c r="H8" s="69" t="n">
        <v>16.5</v>
      </c>
      <c r="I8" s="68" t="inlineStr">
        <is>
          <t>3.86x</t>
        </is>
      </c>
      <c r="J8" s="68" t="n">
        <v>21.8</v>
      </c>
      <c r="K8" s="70" t="n">
        <v>1.2</v>
      </c>
    </row>
    <row r="9">
      <c r="B9" s="67" t="inlineStr">
        <is>
          <t>Constellation Brands</t>
        </is>
      </c>
      <c r="C9" s="67" t="inlineStr">
        <is>
          <t>STZ US</t>
        </is>
      </c>
      <c r="D9" s="68" t="n">
        <v>35.4</v>
      </c>
      <c r="E9" s="68" t="n">
        <v>48.6</v>
      </c>
      <c r="F9" s="68" t="n">
        <v>9.800000000000001</v>
      </c>
      <c r="G9" s="68" t="n">
        <v>4200</v>
      </c>
      <c r="H9" s="69" t="n">
        <v>11.6</v>
      </c>
      <c r="I9" s="68" t="inlineStr">
        <is>
          <t>4.96x</t>
        </is>
      </c>
      <c r="J9" s="68" t="n">
        <v>16.5</v>
      </c>
      <c r="K9" s="70" t="n">
        <v>1.7</v>
      </c>
    </row>
    <row r="11">
      <c r="B11" s="13" t="inlineStr">
        <is>
          <t>Peer Median</t>
        </is>
      </c>
      <c r="C11" s="32" t="n"/>
      <c r="D11" s="32" t="n"/>
      <c r="E11" s="32" t="n"/>
      <c r="F11" s="32" t="n"/>
      <c r="G11" s="32" t="n"/>
      <c r="H11" s="71" t="n">
        <v>14.8</v>
      </c>
      <c r="I11" s="32" t="n"/>
      <c r="J11" s="71" t="n">
        <v>21.8</v>
      </c>
      <c r="K11" s="72" t="n">
        <v>0.0215</v>
      </c>
    </row>
    <row r="12">
      <c r="B12" s="13" t="inlineStr">
        <is>
          <t>Peer Mean</t>
        </is>
      </c>
      <c r="C12" s="32" t="n"/>
      <c r="D12" s="32" t="n"/>
      <c r="E12" s="32" t="n"/>
      <c r="F12" s="32" t="n"/>
      <c r="G12" s="32" t="n"/>
      <c r="H12" s="71" t="n">
        <v>16.4</v>
      </c>
      <c r="I12" s="32" t="n"/>
      <c r="J12" s="71" t="n">
        <v>21.8</v>
      </c>
      <c r="K12" s="72" t="n">
        <v>0.022</v>
      </c>
    </row>
    <row r="14">
      <c r="B14" s="3" t="inlineStr">
        <is>
          <t>IMPLIED DIAGEO VALUATION FROM COMPS</t>
        </is>
      </c>
    </row>
    <row r="15">
      <c r="B15" s="4" t="inlineStr">
        <is>
          <t>Diageo FY24 EBITDA (£m)</t>
        </is>
      </c>
      <c r="D15" s="73" t="n">
        <v>5380</v>
      </c>
    </row>
    <row r="16">
      <c r="B16" s="4" t="inlineStr">
        <is>
          <t>Peer median EV/EBITDA</t>
        </is>
      </c>
      <c r="D16" s="74" t="n">
        <v>14.8</v>
      </c>
    </row>
    <row r="17">
      <c r="B17" s="14" t="inlineStr">
        <is>
          <t>Implied EV (£m)</t>
        </is>
      </c>
      <c r="D17" s="39">
        <f>D15*D16</f>
        <v/>
      </c>
    </row>
    <row r="18">
      <c r="B18" s="4" t="inlineStr">
        <is>
          <t>Less: Net Debt ex-leases FY24 (£m)</t>
        </is>
      </c>
      <c r="D18" s="17">
        <f>-'Debt &amp; Interest'!H26</f>
        <v/>
      </c>
    </row>
    <row r="19">
      <c r="B19" s="4" t="inlineStr">
        <is>
          <t>Less: Lease Liabilities FY24 (£m)</t>
        </is>
      </c>
      <c r="D19" s="17">
        <f>-'Debt &amp; Interest'!H15</f>
        <v/>
      </c>
    </row>
    <row r="20">
      <c r="B20" s="14" t="inlineStr">
        <is>
          <t>Implied Equity Value (£m)</t>
        </is>
      </c>
      <c r="D20" s="39">
        <f>D17+D18+D19</f>
        <v/>
      </c>
    </row>
    <row r="21">
      <c r="B21" s="4" t="inlineStr">
        <is>
          <t>Diluted Shares (m)</t>
        </is>
      </c>
      <c r="D21" s="16" t="n">
        <v>2235</v>
      </c>
    </row>
    <row r="22">
      <c r="B22" s="55" t="inlineStr">
        <is>
          <t>Implied Price (pence)</t>
        </is>
      </c>
      <c r="C22" s="56" t="n"/>
      <c r="D22" s="58">
        <f>D20/D21*100</f>
        <v/>
      </c>
      <c r="E22" s="56" t="n"/>
    </row>
  </sheetData>
  <mergeCells count="1">
    <mergeCell ref="B1:M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M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22" customHeight="1">
      <c r="B1" s="10" t="inlineStr">
        <is>
          <t>CHARTS — KEY FINANCIAL METRICS</t>
        </is>
      </c>
    </row>
    <row r="2">
      <c r="B2" t="inlineStr">
        <is>
          <t>Year</t>
        </is>
      </c>
      <c r="D2" s="75" t="inlineStr">
        <is>
          <t>FY2020A</t>
        </is>
      </c>
      <c r="E2" s="75" t="inlineStr">
        <is>
          <t>FY2021A</t>
        </is>
      </c>
      <c r="F2" s="75" t="inlineStr">
        <is>
          <t>FY2022A</t>
        </is>
      </c>
      <c r="G2" s="75" t="inlineStr">
        <is>
          <t>FY2023A</t>
        </is>
      </c>
      <c r="H2" s="75" t="inlineStr">
        <is>
          <t>FY2024A</t>
        </is>
      </c>
      <c r="I2" s="75" t="inlineStr">
        <is>
          <t>FY2025E</t>
        </is>
      </c>
      <c r="J2" s="75" t="inlineStr">
        <is>
          <t>FY2026E</t>
        </is>
      </c>
      <c r="K2" s="75" t="inlineStr">
        <is>
          <t>FY2027E</t>
        </is>
      </c>
      <c r="L2" s="75" t="inlineStr">
        <is>
          <t>FY2028E</t>
        </is>
      </c>
      <c r="M2" s="75" t="inlineStr">
        <is>
          <t>FY2029E</t>
        </is>
      </c>
    </row>
    <row r="3">
      <c r="B3" t="inlineStr">
        <is>
          <t>Revenue (£m)</t>
        </is>
      </c>
      <c r="D3" s="76" t="n">
        <v>11752</v>
      </c>
      <c r="E3" s="76" t="n">
        <v>12733</v>
      </c>
      <c r="F3" s="76" t="n">
        <v>15452</v>
      </c>
      <c r="G3" s="76" t="n">
        <v>17113</v>
      </c>
      <c r="H3" s="76" t="n">
        <v>15806</v>
      </c>
      <c r="I3" s="76" t="n">
        <v>16373</v>
      </c>
      <c r="J3" s="76" t="n">
        <v>17044</v>
      </c>
      <c r="K3" s="76" t="n">
        <v>17691</v>
      </c>
      <c r="L3" s="76" t="n">
        <v>18274</v>
      </c>
      <c r="M3" s="76" t="n">
        <v>18877</v>
      </c>
    </row>
    <row r="4">
      <c r="B4" t="inlineStr">
        <is>
          <t>EBITDA (£m)</t>
        </is>
      </c>
      <c r="D4" s="76" t="n">
        <v>4050</v>
      </c>
      <c r="E4" s="76" t="n">
        <v>4410</v>
      </c>
      <c r="F4" s="76" t="n">
        <v>5320</v>
      </c>
      <c r="G4" s="76" t="n">
        <v>5900</v>
      </c>
      <c r="H4" s="76" t="n">
        <v>5380</v>
      </c>
      <c r="I4" s="76" t="n">
        <v>5649</v>
      </c>
      <c r="J4" s="76" t="n">
        <v>5965</v>
      </c>
      <c r="K4" s="76" t="n">
        <v>6227</v>
      </c>
      <c r="L4" s="76" t="n">
        <v>6487</v>
      </c>
      <c r="M4" s="76" t="n">
        <v>6758</v>
      </c>
    </row>
    <row r="5">
      <c r="B5" t="inlineStr">
        <is>
          <t>EBITDA Margin</t>
        </is>
      </c>
      <c r="D5" s="77" t="n">
        <v>0.3446</v>
      </c>
      <c r="E5" s="77" t="n">
        <v>0.3463</v>
      </c>
      <c r="F5" s="77" t="n">
        <v>0.3443</v>
      </c>
      <c r="G5" s="77" t="n">
        <v>0.3448</v>
      </c>
      <c r="H5" s="77" t="n">
        <v>0.3404</v>
      </c>
      <c r="I5" s="77" t="n">
        <v>0.345</v>
      </c>
      <c r="J5" s="77" t="n">
        <v>0.35</v>
      </c>
      <c r="K5" s="77" t="n">
        <v>0.352</v>
      </c>
      <c r="L5" s="77" t="n">
        <v>0.355</v>
      </c>
      <c r="M5" s="77" t="n">
        <v>0.358</v>
      </c>
    </row>
    <row r="6">
      <c r="B6" t="inlineStr">
        <is>
          <t>UFCF (£m)</t>
        </is>
      </c>
      <c r="D6" s="76" t="n">
        <v>2799</v>
      </c>
      <c r="E6" s="76" t="n">
        <v>3207</v>
      </c>
      <c r="F6" s="76" t="n">
        <v>3777</v>
      </c>
      <c r="G6" s="76" t="n">
        <v>4071</v>
      </c>
      <c r="H6" s="76" t="n">
        <v>3546</v>
      </c>
      <c r="I6" s="76" t="n">
        <v>3745</v>
      </c>
      <c r="J6" s="76" t="n">
        <v>3966</v>
      </c>
      <c r="K6" s="76" t="n">
        <v>4155</v>
      </c>
      <c r="L6" s="76" t="n">
        <v>4340</v>
      </c>
      <c r="M6" s="76" t="n">
        <v>4534</v>
      </c>
    </row>
    <row r="7">
      <c r="B7" t="inlineStr">
        <is>
          <t>Net Debt ex-leases</t>
        </is>
      </c>
      <c r="D7" s="76" t="n">
        <v>10600</v>
      </c>
      <c r="E7" s="76" t="n">
        <v>11600</v>
      </c>
      <c r="F7" s="76" t="n">
        <v>13600</v>
      </c>
      <c r="G7" s="76" t="n">
        <v>14600</v>
      </c>
      <c r="H7" s="76" t="n">
        <v>14800</v>
      </c>
      <c r="I7" s="76" t="n">
        <v>14400</v>
      </c>
      <c r="J7" s="76" t="n">
        <v>14000</v>
      </c>
      <c r="K7" s="76" t="n">
        <v>13500</v>
      </c>
      <c r="L7" s="76" t="n">
        <v>13000</v>
      </c>
      <c r="M7" s="76" t="n">
        <v>12500</v>
      </c>
    </row>
    <row r="8">
      <c r="B8" t="inlineStr">
        <is>
          <t>ND/EBITDA</t>
        </is>
      </c>
      <c r="D8" s="74" t="n">
        <v>2.62</v>
      </c>
      <c r="E8" s="74" t="n">
        <v>2.63</v>
      </c>
      <c r="F8" s="74" t="n">
        <v>2.56</v>
      </c>
      <c r="G8" s="74" t="n">
        <v>2.47</v>
      </c>
      <c r="H8" s="74" t="n">
        <v>2.75</v>
      </c>
      <c r="I8" s="74" t="n">
        <v>2.55</v>
      </c>
      <c r="J8" s="74" t="n">
        <v>2.35</v>
      </c>
      <c r="K8" s="74" t="n">
        <v>2.17</v>
      </c>
      <c r="L8" s="74" t="n">
        <v>2</v>
      </c>
      <c r="M8" s="74" t="n">
        <v>1.85</v>
      </c>
    </row>
    <row r="10">
      <c r="B10" t="inlineStr">
        <is>
          <t>Valuation Method</t>
        </is>
      </c>
      <c r="C10" t="inlineStr">
        <is>
          <t>Low (p)</t>
        </is>
      </c>
      <c r="D10" t="inlineStr">
        <is>
          <t>Mid (p)</t>
        </is>
      </c>
      <c r="E10" t="inlineStr">
        <is>
          <t>High (p)</t>
        </is>
      </c>
    </row>
    <row r="11">
      <c r="B11" s="4" t="inlineStr">
        <is>
          <t>DCF (base case)</t>
        </is>
      </c>
      <c r="C11" t="n">
        <v>2200</v>
      </c>
      <c r="D11" t="n">
        <v>600</v>
      </c>
      <c r="E11" t="n">
        <v>600</v>
      </c>
    </row>
    <row r="12">
      <c r="B12" s="4" t="inlineStr">
        <is>
          <t>DCF (bull)</t>
        </is>
      </c>
      <c r="C12" t="n">
        <v>2800</v>
      </c>
      <c r="D12" t="n">
        <v>500</v>
      </c>
      <c r="E12" t="n">
        <v>500</v>
      </c>
    </row>
    <row r="13">
      <c r="B13" s="4" t="inlineStr">
        <is>
          <t>EV/EBITDA comps</t>
        </is>
      </c>
      <c r="C13" t="n">
        <v>2100</v>
      </c>
      <c r="D13" t="n">
        <v>500</v>
      </c>
      <c r="E13" t="n">
        <v>500</v>
      </c>
    </row>
    <row r="14">
      <c r="B14" s="4" t="inlineStr">
        <is>
          <t>P/E comps</t>
        </is>
      </c>
      <c r="C14" t="n">
        <v>2300</v>
      </c>
      <c r="D14" t="n">
        <v>400</v>
      </c>
      <c r="E14" t="n">
        <v>400</v>
      </c>
    </row>
    <row r="15">
      <c r="B15" s="4" t="inlineStr">
        <is>
          <t>52-wk range</t>
        </is>
      </c>
      <c r="C15" t="n">
        <v>2150</v>
      </c>
      <c r="D15" t="n">
        <v>350</v>
      </c>
      <c r="E15" t="n">
        <v>350</v>
      </c>
    </row>
  </sheetData>
  <mergeCells count="1">
    <mergeCell ref="B1:M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2026-04-05T14:57:19Z</dcterms:created>
  <dcterms:modified xmlns:dcterms="http://purl.org/dc/terms/" xmlns:xsi="http://www.w3.org/2001/XMLSchema-instance" xsi:type="dcterms:W3CDTF">2026-04-05T14:57:20Z</dcterms:modified>
</cp:coreProperties>
</file>