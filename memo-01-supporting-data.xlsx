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 Comparison" sheetId="1" state="visible" r:id="rId3"/>
    <sheet name="Power &amp; Grid Data" sheetId="2" state="visible" r:id="rId4"/>
    <sheet name="CapEx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<sst xmlns="http://schemas.openxmlformats.org/spreadsheetml/2006/main" count="67" uniqueCount="56">
  <si>
    <t xml:space="preserve">AI Infrastructure — Enabler Valuation Gap vs AI-Facing Peers</t>
  </si>
  <si>
    <t xml:space="preserve">Source: Bloomberg consensus estimates, March 2026.  Blue = hardcoded inputs.  Highlight = infrastructure enablers (investment thesis).</t>
  </si>
  <si>
    <t xml:space="preserve">Company / Index</t>
  </si>
  <si>
    <t xml:space="preserve">Fwd P/E (2026E)</t>
  </si>
  <si>
    <t xml:space="preserve">Category</t>
  </si>
  <si>
    <t xml:space="preserve">Investment Notes</t>
  </si>
  <si>
    <t xml:space="preserve">NVDA Suppliers (avg)</t>
  </si>
  <si>
    <t xml:space="preserve">AI-Facing Tech</t>
  </si>
  <si>
    <t xml:space="preserve">Avg. of top-10 NVIDIA ecosystem suppliers; elevated due to AI hype premium</t>
  </si>
  <si>
    <t xml:space="preserve">Arista Networks (ANET)</t>
  </si>
  <si>
    <t xml:space="preserve">High-speed networking switches for hyperscale AI clusters</t>
  </si>
  <si>
    <t xml:space="preserve">S&amp;P 500 Technology</t>
  </si>
  <si>
    <t xml:space="preserve">Benchmark</t>
  </si>
  <si>
    <t xml:space="preserve">S&amp;P 500 Info. Technology sector average — key reference point</t>
  </si>
  <si>
    <t xml:space="preserve">GE Vernova (GEV)</t>
  </si>
  <si>
    <t xml:space="preserve">Infrastructure Enabler</t>
  </si>
  <si>
    <t xml:space="preserve">Grid &amp; power generation; $52bn revenue target by 2028</t>
  </si>
  <si>
    <t xml:space="preserve">Quanta Services (PWR)</t>
  </si>
  <si>
    <t xml:space="preserve">Grid construction &amp; data centre electrical infrastructure</t>
  </si>
  <si>
    <t xml:space="preserve">Vertiv (VRT)</t>
  </si>
  <si>
    <t xml:space="preserve">Power/thermal mgmt for AI racks; +35% YoY order backlog growth</t>
  </si>
  <si>
    <t xml:space="preserve">Key thesis: Infrastructure enablers trade at ~22-25x forward P/E vs 35-45x for AI-facing peers — a 40-50% discount despite AI-grade revenue growth of 15-18% YoY.</t>
  </si>
  <si>
    <t xml:space="preserve">US Data Centre Power Demand vs Annual Grid Capacity Additions  |  GW  |  2022–2028E</t>
  </si>
  <si>
    <t xml:space="preserve">Sources: IEA "Energy and AI" (2024), S&amp;P Global (Oct 2024), Morgan Stanley Research (2025).  E = Estimated.  Blue = hardcoded inputs.</t>
  </si>
  <si>
    <t xml:space="preserve">Year</t>
  </si>
  <si>
    <t xml:space="preserve">DC Power Demand
(GW — cumulative)</t>
  </si>
  <si>
    <t xml:space="preserve">Annual Grid Capacity
Additions (GW/yr)</t>
  </si>
  <si>
    <t xml:space="preserve">Annual DC Demand
Growth (GW)</t>
  </si>
  <si>
    <t xml:space="preserve">Notes</t>
  </si>
  <si>
    <t xml:space="preserve">2022</t>
  </si>
  <si>
    <t xml:space="preserve">—</t>
  </si>
  <si>
    <t xml:space="preserve">Pre-AI baseline; traditional cloud servers</t>
  </si>
  <si>
    <t xml:space="preserve">2023</t>
  </si>
  <si>
    <t xml:space="preserve">ChatGPT-driven initial surge in GPU demand</t>
  </si>
  <si>
    <t xml:space="preserve">2024</t>
  </si>
  <si>
    <t xml:space="preserve">Hyperscaler AI build accelerates; H100 ramp</t>
  </si>
  <si>
    <t xml:space="preserve">2025E</t>
  </si>
  <si>
    <t xml:space="preserve">Accelerated GPU cluster deployments</t>
  </si>
  <si>
    <t xml:space="preserve">2026E</t>
  </si>
  <si>
    <t xml:space="preserve">Big-5 $600bn capex year; supply constraint bites</t>
  </si>
  <si>
    <t xml:space="preserve">2027E</t>
  </si>
  <si>
    <t xml:space="preserve">Next-gen AI training facilities</t>
  </si>
  <si>
    <t xml:space="preserve">2028E</t>
  </si>
  <si>
    <t xml:space="preserve">Morgan Stanley: 49GW grid shortfall materialises</t>
  </si>
  <si>
    <t xml:space="preserve">⚠  Morgan Stanley (2025): 49GW projected US grid capacity shortfall by 2028. Annual DC demand growth is expected to exceed annual grid additions from 2025E onward.</t>
  </si>
  <si>
    <t xml:space="preserve">Big-5 Hyperscaler Capital Expenditure  |  $bn  |  Source: Goldman Sachs, CreditSights, Bloomberg</t>
  </si>
  <si>
    <t xml:space="preserve">Big-5: Amazon, Alphabet, Meta, Microsoft, Oracle.  ~75% of 2026 capex directed to AI infrastructure.  Blue = hardcoded.  Black = formula.</t>
  </si>
  <si>
    <t xml:space="preserve">Big-5 CapEx ($bn)</t>
  </si>
  <si>
    <t xml:space="preserve">YoY Growth</t>
  </si>
  <si>
    <t xml:space="preserve">AI-Specific (~75%)</t>
  </si>
  <si>
    <t xml:space="preserve">Pre-AI capex baseline</t>
  </si>
  <si>
    <t xml:space="preserve">Initial AI server deployments; NVIDIA A100 ramp</t>
  </si>
  <si>
    <t xml:space="preserve">H100 GPU cluster ramp; ChatGPT monetisation</t>
  </si>
  <si>
    <t xml:space="preserve">+73% YoY; Goldman Sachs revised up 3× since 2023</t>
  </si>
  <si>
    <t xml:space="preserve">+36% YoY; Amazon alone plans ~$200bn capex</t>
  </si>
  <si>
    <t xml:space="preserve">Goldman Sachs projects $1.15tn cumulative hyperscaler capex 2025–27E — more than double the $477bn spent 2022–24.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</si>
</sst>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x"/>
    <numFmt numFmtId="166" formatCode="\$#,##0"/>
    <numFmt numFmtId="167" formatCode="&quot;~$&quot;#,##0&quot;bn&quot;"/>
    <numFmt numFmtId="168" formatCode="\+0.0%;\-0.0%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95A5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28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.5"/>
      <color rgb="FF7D4D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8.5"/>
      <color rgb="FF95A5A6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9.5"/>
      <color rgb="FF7D3C0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1C2833"/>
      </patternFill>
    </fill>
    <fill>
      <patternFill patternType="solid">
        <fgColor rgb="FF1B4F72"/>
        <bgColor rgb="FF333399"/>
      </patternFill>
    </fill>
    <fill>
      <patternFill patternType="solid">
        <fgColor rgb="FFF4F6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AF0F6"/>
        <bgColor rgb="FFF4F6F8"/>
      </patternFill>
    </fill>
    <fill>
      <patternFill patternType="solid">
        <fgColor rgb="FFD5F5E3"/>
        <bgColor rgb="FFEAF0F6"/>
      </patternFill>
    </fill>
    <fill>
      <patternFill patternType="solid">
        <fgColor rgb="FFFFF9E6"/>
        <bgColor rgb="FFF9F9F9"/>
      </patternFill>
    </fill>
    <fill>
      <patternFill patternType="solid">
        <fgColor rgb="FFFFE5E5"/>
        <bgColor rgb="FFFFF3CD"/>
      </patternFill>
    </fill>
    <fill>
      <patternFill patternType="solid">
        <fgColor rgb="FFFFF3CD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4D00"/>
      <rgbColor rgb="FF800080"/>
      <rgbColor rgb="FF008080"/>
      <rgbColor rgb="FFCCCCCC"/>
      <rgbColor rgb="FF878787"/>
      <rgbColor rgb="FF9999FF"/>
      <rgbColor rgb="FFC0504D"/>
      <rgbColor rgb="FFFFF3CD"/>
      <rgbColor rgb="FFEAF0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5F5E3"/>
      <rgbColor rgb="FFFFF9E6"/>
      <rgbColor rgb="FFF9F9F9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E74C3C"/>
      <rgbColor rgb="FF4F81BD"/>
      <rgbColor rgb="FF95A5A6"/>
      <rgbColor rgb="FF1B4F72"/>
      <rgbColor rgb="FF1E8449"/>
      <rgbColor rgb="FF0D1B2A"/>
      <rgbColor rgb="FF333300"/>
      <rgbColor rgb="FF7D3C0A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Enabler Valuation Gap — Forward P/E (2026E)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'Valuation Comparison'!B3</c:f>
              <c:strCache>
                <c:ptCount val="1"/>
                <c:pt idx="0">
                  <c:v>Fwd P/E (2026E)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Comparison'!$A$4:$A$9</c:f>
              <c:strCache>
                <c:ptCount val="6"/>
                <c:pt idx="0">
                  <c:v>NVDA Suppliers (avg)</c:v>
                </c:pt>
                <c:pt idx="1">
                  <c:v>Arista Networks (ANET)</c:v>
                </c:pt>
                <c:pt idx="2">
                  <c:v>S&amp;P 500 Technology</c:v>
                </c:pt>
                <c:pt idx="3">
                  <c:v>GE Vernova (GEV)</c:v>
                </c:pt>
                <c:pt idx="4">
                  <c:v>Quanta Services (PWR)</c:v>
                </c:pt>
                <c:pt idx="5">
                  <c:v>Vertiv (VRT)</c:v>
                </c:pt>
              </c:strCache>
            </c:strRef>
          </c:cat>
          <c:val>
            <c:numRef>
              <c:f>'Valuation Comparison'!$B$4:$B$9</c:f>
              <c:numCache>
                <c:formatCode>0.0\x</c:formatCode>
                <c:ptCount val="6"/>
                <c:pt idx="0">
                  <c:v>40</c:v>
                </c:pt>
                <c:pt idx="1">
                  <c:v>38</c:v>
                </c:pt>
                <c:pt idx="2">
                  <c:v>28</c:v>
                </c:pt>
                <c:pt idx="3">
                  <c:v>25</c:v>
                </c:pt>
                <c:pt idx="4">
                  <c:v>23</c:v>
                </c:pt>
                <c:pt idx="5">
                  <c:v>22</c:v>
                </c:pt>
              </c:numCache>
            </c:numRef>
          </c:val>
        </c:ser>
        <c:gapWidth val="150"/>
        <c:overlap val="0"/>
        <c:axId val="28356740"/>
        <c:axId val="99129131"/>
      </c:barChart>
      <c:catAx>
        <c:axId val="2835674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Forward P/E Multiple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29131"/>
        <c:crosses val="autoZero"/>
        <c:auto val="1"/>
        <c:lblAlgn val="ctr"/>
        <c:lblOffset val="100"/>
        <c:noMultiLvlLbl val="0"/>
      </c:catAx>
      <c:valAx>
        <c:axId val="99129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3567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US DC Power Demand vs Grid Additions (GW)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'Power &amp; Grid Data'!B3</c:f>
              <c:strCache>
                <c:ptCount val="1"/>
                <c:pt idx="0">
                  <c:v>DC Power Demand
(GW — cumulative)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'Power &amp; Grid Data'!$A$4:$A$10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</c:strCache>
            </c:strRef>
          </c:cat>
          <c:val>
            <c:numRef>
              <c:f>'Power &amp; Grid Data'!$B$4:$B$10</c:f>
              <c:numCache>
                <c:formatCode>General</c:formatCode>
                <c:ptCount val="7"/>
                <c:pt idx="0">
                  <c:v>25</c:v>
                </c:pt>
                <c:pt idx="1">
                  <c:v>33</c:v>
                </c:pt>
                <c:pt idx="2">
                  <c:v>47</c:v>
                </c:pt>
                <c:pt idx="3">
                  <c:v>67</c:v>
                </c:pt>
                <c:pt idx="4">
                  <c:v>76</c:v>
                </c:pt>
                <c:pt idx="5">
                  <c:v>92</c:v>
                </c:pt>
                <c:pt idx="6">
                  <c:v>113</c:v>
                </c:pt>
              </c:numCache>
            </c:numRef>
          </c:val>
        </c:ser>
        <c:ser>
          <c:idx val="1"/>
          <c:order val="1"/>
          <c:tx>
            <c:strRef>
              <c:f>'Power &amp; Grid Data'!C3</c:f>
              <c:strCache>
                <c:ptCount val="1"/>
                <c:pt idx="0">
                  <c:v>Annual Grid Capacity
Additions (GW/yr)</c:v>
                </c:pt>
              </c:strCache>
            </c:strRef>
          </c:tx>
          <c:spPr>
            <a:solidFill>
              <a:srgbClr val="c0504d"/>
            </a:solidFill>
            <a:ln w="20160">
              <a:solidFill>
                <a:srgbClr val="e74c3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e74c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'Power &amp; Grid Data'!$A$4:$A$10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</c:strCache>
            </c:strRef>
          </c:cat>
          <c:val>
            <c:numRef>
              <c:f>'Power &amp; Grid Data'!$C$4:$C$10</c:f>
              <c:numCache>
                <c:formatCode>General</c:formatCode>
                <c:ptCount val="7"/>
                <c:pt idx="0">
                  <c:v>34</c:v>
                </c:pt>
                <c:pt idx="1">
                  <c:v>33</c:v>
                </c:pt>
                <c:pt idx="2">
                  <c:v>35</c:v>
                </c:pt>
                <c:pt idx="3">
                  <c:v>38</c:v>
                </c:pt>
                <c:pt idx="4">
                  <c:v>40</c:v>
                </c:pt>
                <c:pt idx="5">
                  <c:v>42</c:v>
                </c:pt>
                <c:pt idx="6">
                  <c:v>43</c:v>
                </c:pt>
              </c:numCache>
            </c:numRef>
          </c:val>
        </c:ser>
        <c:gapWidth val="150"/>
        <c:overlap val="0"/>
        <c:axId val="79247062"/>
        <c:axId val="90776666"/>
      </c:barChart>
      <c:catAx>
        <c:axId val="79247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776666"/>
        <c:crosses val="autoZero"/>
        <c:auto val="1"/>
        <c:lblAlgn val="ctr"/>
        <c:lblOffset val="100"/>
        <c:noMultiLvlLbl val="0"/>
      </c:catAx>
      <c:valAx>
        <c:axId val="90776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470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Big-5 Hyperscaler CapEx ($bn)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'CapEx Data'!B3</c:f>
              <c:strCache>
                <c:ptCount val="1"/>
                <c:pt idx="0">
                  <c:v>Big-5 CapEx ($bn)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'CapEx Data'!$A$4:$A$8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2025E</c:v>
                </c:pt>
                <c:pt idx="4">
                  <c:v>2026E</c:v>
                </c:pt>
              </c:strCache>
            </c:strRef>
          </c:cat>
          <c:val>
            <c:numRef>
              <c:f>'CapEx Data'!$B$4:$B$8</c:f>
              <c:numCache>
                <c:formatCode>\$#,##0</c:formatCode>
                <c:ptCount val="5"/>
                <c:pt idx="0">
                  <c:v>120</c:v>
                </c:pt>
                <c:pt idx="1">
                  <c:v>157</c:v>
                </c:pt>
                <c:pt idx="2">
                  <c:v>256</c:v>
                </c:pt>
                <c:pt idx="3">
                  <c:v>443</c:v>
                </c:pt>
                <c:pt idx="4">
                  <c:v>600</c:v>
                </c:pt>
              </c:numCache>
            </c:numRef>
          </c:val>
        </c:ser>
        <c:gapWidth val="150"/>
        <c:overlap val="0"/>
        <c:axId val="49364547"/>
        <c:axId val="88141759"/>
      </c:barChart>
      <c:catAx>
        <c:axId val="49364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141759"/>
        <c:crosses val="autoZero"/>
        <c:auto val="1"/>
        <c:lblAlgn val="ctr"/>
        <c:lblOffset val="100"/>
        <c:noMultiLvlLbl val="0"/>
      </c:catAx>
      <c:valAx>
        <c:axId val="88141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$bn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6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16</xdr:col>
      <xdr:colOff>473040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8364960" y="5526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25</xdr:row>
      <xdr:rowOff>144000</xdr:rowOff>
    </xdr:to>
    <xdr:graphicFrame>
      <xdr:nvGraphicFramePr>
        <xdr:cNvPr id="1" name="Chart 1"/>
        <xdr:cNvGraphicFramePr/>
      </xdr:nvGraphicFramePr>
      <xdr:xfrm>
        <a:off x="8999280" y="514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26</xdr:row>
      <xdr:rowOff>134280</xdr:rowOff>
    </xdr:to>
    <xdr:graphicFrame>
      <xdr:nvGraphicFramePr>
        <xdr:cNvPr id="2" name="Chart 1"/>
        <xdr:cNvGraphicFramePr/>
      </xdr:nvGraphicFramePr>
      <xdr:xfrm>
        <a:off x="8294400" y="5144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8" hidden="false" customHeight="true" outlineLevel="0" collapsed="false">
      <c r="A4" s="4" t="s">
        <v>6</v>
      </c>
      <c r="B4" s="5" t="n">
        <v>40</v>
      </c>
      <c r="C4" s="4" t="s">
        <v>7</v>
      </c>
      <c r="D4" s="6" t="s">
        <v>8</v>
      </c>
    </row>
    <row r="5" customFormat="false" ht="18" hidden="false" customHeight="true" outlineLevel="0" collapsed="false">
      <c r="A5" s="7" t="s">
        <v>9</v>
      </c>
      <c r="B5" s="8" t="n">
        <v>38</v>
      </c>
      <c r="C5" s="7" t="s">
        <v>7</v>
      </c>
      <c r="D5" s="9" t="s">
        <v>10</v>
      </c>
    </row>
    <row r="6" customFormat="false" ht="18" hidden="false" customHeight="true" outlineLevel="0" collapsed="false">
      <c r="A6" s="10" t="s">
        <v>11</v>
      </c>
      <c r="B6" s="11" t="n">
        <v>28</v>
      </c>
      <c r="C6" s="10" t="s">
        <v>12</v>
      </c>
      <c r="D6" s="12" t="s">
        <v>13</v>
      </c>
    </row>
    <row r="7" customFormat="false" ht="18" hidden="false" customHeight="true" outlineLevel="0" collapsed="false">
      <c r="A7" s="13" t="s">
        <v>14</v>
      </c>
      <c r="B7" s="14" t="n">
        <v>25</v>
      </c>
      <c r="C7" s="15" t="s">
        <v>15</v>
      </c>
      <c r="D7" s="16" t="s">
        <v>16</v>
      </c>
    </row>
    <row r="8" customFormat="false" ht="18" hidden="false" customHeight="true" outlineLevel="0" collapsed="false">
      <c r="A8" s="13" t="s">
        <v>17</v>
      </c>
      <c r="B8" s="14" t="n">
        <v>23</v>
      </c>
      <c r="C8" s="15" t="s">
        <v>15</v>
      </c>
      <c r="D8" s="16" t="s">
        <v>18</v>
      </c>
    </row>
    <row r="9" customFormat="false" ht="18" hidden="false" customHeight="true" outlineLevel="0" collapsed="false">
      <c r="A9" s="13" t="s">
        <v>19</v>
      </c>
      <c r="B9" s="14" t="n">
        <v>22</v>
      </c>
      <c r="C9" s="15" t="s">
        <v>15</v>
      </c>
      <c r="D9" s="16" t="s">
        <v>20</v>
      </c>
    </row>
    <row r="10" customFormat="false" ht="3.75" hidden="false" customHeight="true" outlineLevel="0" collapsed="false"/>
    <row r="11" customFormat="false" ht="25.5" hidden="false" customHeight="true" outlineLevel="0" collapsed="false">
      <c r="A11" s="17" t="s">
        <v>21</v>
      </c>
      <c r="B11" s="17"/>
      <c r="C11" s="17"/>
      <c r="D11" s="17"/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25.5" hidden="false" customHeight="true" outlineLevel="0" collapsed="false">
      <c r="A1" s="18" t="s">
        <v>22</v>
      </c>
      <c r="B1" s="18"/>
      <c r="C1" s="18"/>
      <c r="D1" s="18"/>
      <c r="E1" s="18"/>
    </row>
    <row r="2" customFormat="false" ht="15" hidden="false" customHeight="true" outlineLevel="0" collapsed="false">
      <c r="A2" s="19" t="s">
        <v>23</v>
      </c>
      <c r="B2" s="19"/>
      <c r="C2" s="19"/>
      <c r="D2" s="19"/>
      <c r="E2" s="19"/>
    </row>
    <row r="3" customFormat="false" ht="27.75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</row>
    <row r="4" customFormat="false" ht="18" hidden="false" customHeight="true" outlineLevel="0" collapsed="false">
      <c r="A4" s="4" t="s">
        <v>29</v>
      </c>
      <c r="B4" s="20" t="n">
        <v>25</v>
      </c>
      <c r="C4" s="20" t="n">
        <v>34</v>
      </c>
      <c r="D4" s="21" t="s">
        <v>30</v>
      </c>
      <c r="E4" s="6" t="s">
        <v>31</v>
      </c>
    </row>
    <row r="5" customFormat="false" ht="18" hidden="false" customHeight="true" outlineLevel="0" collapsed="false">
      <c r="A5" s="7" t="s">
        <v>32</v>
      </c>
      <c r="B5" s="22" t="n">
        <v>33</v>
      </c>
      <c r="C5" s="22" t="n">
        <v>33</v>
      </c>
      <c r="D5" s="23" t="n">
        <v>8</v>
      </c>
      <c r="E5" s="9" t="s">
        <v>33</v>
      </c>
    </row>
    <row r="6" customFormat="false" ht="18" hidden="false" customHeight="true" outlineLevel="0" collapsed="false">
      <c r="A6" s="4" t="s">
        <v>34</v>
      </c>
      <c r="B6" s="20" t="n">
        <v>47</v>
      </c>
      <c r="C6" s="20" t="n">
        <v>35</v>
      </c>
      <c r="D6" s="24" t="n">
        <v>14</v>
      </c>
      <c r="E6" s="6" t="s">
        <v>35</v>
      </c>
    </row>
    <row r="7" customFormat="false" ht="18" hidden="false" customHeight="true" outlineLevel="0" collapsed="false">
      <c r="A7" s="25" t="s">
        <v>36</v>
      </c>
      <c r="B7" s="22" t="n">
        <v>67</v>
      </c>
      <c r="C7" s="22" t="n">
        <v>38</v>
      </c>
      <c r="D7" s="26" t="n">
        <v>20</v>
      </c>
      <c r="E7" s="9" t="s">
        <v>37</v>
      </c>
    </row>
    <row r="8" customFormat="false" ht="18" hidden="false" customHeight="true" outlineLevel="0" collapsed="false">
      <c r="A8" s="27" t="s">
        <v>38</v>
      </c>
      <c r="B8" s="20" t="n">
        <v>76</v>
      </c>
      <c r="C8" s="20" t="n">
        <v>40</v>
      </c>
      <c r="D8" s="24" t="n">
        <v>9</v>
      </c>
      <c r="E8" s="6" t="s">
        <v>39</v>
      </c>
    </row>
    <row r="9" customFormat="false" ht="18" hidden="false" customHeight="true" outlineLevel="0" collapsed="false">
      <c r="A9" s="25" t="s">
        <v>40</v>
      </c>
      <c r="B9" s="22" t="n">
        <v>92</v>
      </c>
      <c r="C9" s="22" t="n">
        <v>42</v>
      </c>
      <c r="D9" s="26" t="n">
        <v>16</v>
      </c>
      <c r="E9" s="9" t="s">
        <v>41</v>
      </c>
    </row>
    <row r="10" customFormat="false" ht="18" hidden="false" customHeight="true" outlineLevel="0" collapsed="false">
      <c r="A10" s="28" t="s">
        <v>42</v>
      </c>
      <c r="B10" s="29" t="n">
        <v>113</v>
      </c>
      <c r="C10" s="29" t="n">
        <v>43</v>
      </c>
      <c r="D10" s="30" t="n">
        <v>21</v>
      </c>
      <c r="E10" s="31" t="s">
        <v>43</v>
      </c>
    </row>
    <row r="11" customFormat="false" ht="21.75" hidden="false" customHeight="true" outlineLevel="0" collapsed="false">
      <c r="A11" s="32" t="s">
        <v>44</v>
      </c>
      <c r="B11" s="32"/>
      <c r="C11" s="32"/>
      <c r="D11" s="32"/>
      <c r="E11" s="32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6"/>
  </cols>
  <sheetData>
    <row r="1" customFormat="false" ht="25.5" hidden="false" customHeight="true" outlineLevel="0" collapsed="false">
      <c r="A1" s="18" t="s">
        <v>45</v>
      </c>
      <c r="B1" s="18"/>
      <c r="C1" s="18"/>
      <c r="D1" s="18"/>
      <c r="E1" s="18"/>
    </row>
    <row r="2" customFormat="false" ht="15" hidden="false" customHeight="true" outlineLevel="0" collapsed="false">
      <c r="A2" s="19" t="s">
        <v>46</v>
      </c>
      <c r="B2" s="19"/>
      <c r="C2" s="19"/>
      <c r="D2" s="19"/>
      <c r="E2" s="19"/>
    </row>
    <row r="3" customFormat="false" ht="19.5" hidden="false" customHeight="true" outlineLevel="0" collapsed="false">
      <c r="A3" s="3" t="s">
        <v>24</v>
      </c>
      <c r="B3" s="3" t="s">
        <v>47</v>
      </c>
      <c r="C3" s="3" t="s">
        <v>48</v>
      </c>
      <c r="D3" s="3" t="s">
        <v>49</v>
      </c>
      <c r="E3" s="3" t="s">
        <v>28</v>
      </c>
    </row>
    <row r="4" customFormat="false" ht="18" hidden="false" customHeight="true" outlineLevel="0" collapsed="false">
      <c r="A4" s="4" t="s">
        <v>29</v>
      </c>
      <c r="B4" s="33" t="n">
        <v>120</v>
      </c>
      <c r="C4" s="21" t="s">
        <v>30</v>
      </c>
      <c r="D4" s="34" t="n">
        <v>90</v>
      </c>
      <c r="E4" s="6" t="s">
        <v>50</v>
      </c>
    </row>
    <row r="5" customFormat="false" ht="18" hidden="false" customHeight="true" outlineLevel="0" collapsed="false">
      <c r="A5" s="7" t="s">
        <v>32</v>
      </c>
      <c r="B5" s="35" t="n">
        <v>157</v>
      </c>
      <c r="C5" s="36" t="n">
        <f aca="false">(B5-B4)/B4</f>
        <v>0.308333333333333</v>
      </c>
      <c r="D5" s="37" t="n">
        <v>118</v>
      </c>
      <c r="E5" s="9" t="s">
        <v>51</v>
      </c>
    </row>
    <row r="6" customFormat="false" ht="18" hidden="false" customHeight="true" outlineLevel="0" collapsed="false">
      <c r="A6" s="4" t="s">
        <v>34</v>
      </c>
      <c r="B6" s="33" t="n">
        <v>256</v>
      </c>
      <c r="C6" s="38" t="n">
        <f aca="false">(B6-B5)/B5</f>
        <v>0.630573248407643</v>
      </c>
      <c r="D6" s="34" t="n">
        <v>192</v>
      </c>
      <c r="E6" s="6" t="s">
        <v>52</v>
      </c>
    </row>
    <row r="7" customFormat="false" ht="18" hidden="false" customHeight="true" outlineLevel="0" collapsed="false">
      <c r="A7" s="7" t="s">
        <v>36</v>
      </c>
      <c r="B7" s="35" t="n">
        <v>443</v>
      </c>
      <c r="C7" s="36" t="n">
        <f aca="false">(B7-B6)/B6</f>
        <v>0.73046875</v>
      </c>
      <c r="D7" s="37" t="n">
        <v>332</v>
      </c>
      <c r="E7" s="9" t="s">
        <v>53</v>
      </c>
    </row>
    <row r="8" customFormat="false" ht="18" hidden="false" customHeight="true" outlineLevel="0" collapsed="false">
      <c r="A8" s="13" t="s">
        <v>38</v>
      </c>
      <c r="B8" s="39" t="n">
        <v>600</v>
      </c>
      <c r="C8" s="40" t="n">
        <f aca="false">(B8-B7)/B7</f>
        <v>0.354401805869075</v>
      </c>
      <c r="D8" s="41" t="n">
        <v>450</v>
      </c>
      <c r="E8" s="16" t="s">
        <v>54</v>
      </c>
    </row>
    <row r="9" customFormat="false" ht="21.75" hidden="false" customHeight="true" outlineLevel="0" collapsed="false">
      <c r="A9" s="17" t="s">
        <v>55</v>
      </c>
      <c r="B9" s="17"/>
      <c r="C9" s="17"/>
      <c r="D9" s="17"/>
      <c r="E9" s="17"/>
    </row>
  </sheetData>
  <mergeCells count="3">
    <mergeCell ref="A1:E1"/>
    <mergeCell ref="A2:E2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2026-03-02T17:26:15Z</dcterms:created>
  <dc:creator>openpyxl</dc:creator>
  <dc:description/>
  <dc:language>en-US</dc:language>
  <cp:lastModifiedBy/>
  <dcterms:modified xsi:type="dcterms:W3CDTF">2026-03-02T17:26:21Z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