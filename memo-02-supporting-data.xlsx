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ward PE History" sheetId="1" state="visible" r:id="rId3"/>
    <sheet name="Sector Composition" sheetId="2" state="visible" r:id="rId4"/>
    <sheet name="EPS Growth" sheetId="3" state="visible" r:id="rId5"/>
    <sheet name="Capital Flow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<sst xmlns="http://schemas.openxmlformats.org/spreadsheetml/2006/main" count="35" uniqueCount="33">
  <si>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Year</t>
  </si>
  <si>
    <t xml:space="preserve">S&amp;P 500 Fwd P/E</t>
  </si>
  <si>
    <t xml:space="preserve">MSCI Europe Fwd P/E</t>
  </si>
  <si>
    <t xml:space="preserve">Discount (%)</t>
  </si>
  <si>
    <t xml:space="preserve">Notes: Fwd P/E = 12-month consensus EPS estimates. Source: Bloomberg, FactSet. 2026 = current estimate (Q1 2026).</t>
  </si>
  <si>
    <t xml:space="preserve">Current discount:</t>
  </si>
  <si>
    <t xml:space="preserve">20-yr avg discount:</t>
  </si>
  <si>
    <t xml:space="preserve">Sector (GICS)</t>
  </si>
  <si>
    <t xml:space="preserve">S&amp;P 500 Weight (%)</t>
  </si>
  <si>
    <t xml:space="preserve">MSCI Europe Weight (%)</t>
  </si>
  <si>
    <t xml:space="preserve">US vs EU Diff (pp)</t>
  </si>
  <si>
    <t xml:space="preserve">Technology</t>
  </si>
  <si>
    <t xml:space="preserve">Financials</t>
  </si>
  <si>
    <t xml:space="preserve">Healthcare</t>
  </si>
  <si>
    <t xml:space="preserve">Industrials</t>
  </si>
  <si>
    <t xml:space="preserve">Consumer Disc.</t>
  </si>
  <si>
    <t xml:space="preserve">Communication</t>
  </si>
  <si>
    <t xml:space="preserve">Energy</t>
  </si>
  <si>
    <t xml:space="preserve">Materials</t>
  </si>
  <si>
    <t xml:space="preserve">Other</t>
  </si>
  <si>
    <t xml:space="preserve">Total</t>
  </si>
  <si>
    <t xml:space="preserve">Source: MSCI, S&amp;P Dow Jones Indices. GICS classification, Q1 2026 estimates.</t>
  </si>
  <si>
    <t xml:space="preserve">Key insight: US Technology = 30% vs Europe 8%. Sector mix explains ~60% of the P/E gap.</t>
  </si>
  <si>
    <t xml:space="preserve">S&amp;P 500 EPS Growth (%)</t>
  </si>
  <si>
    <t xml:space="preserve">MSCI Europe EPS Growth (%)</t>
  </si>
  <si>
    <t xml:space="preserve">US Premium (pp)</t>
  </si>
  <si>
    <t xml:space="preserve">Source: FactSet, Bloomberg consensus estimates. 2025-2026 = analyst consensus (Q1 2026).</t>
  </si>
  <si>
    <t xml:space="preserve">Bear case: sustained US structural EPS premium (tech-driven) caps re-rating potential.</t>
  </si>
  <si>
    <t xml:space="preserve">US Equity ETF Flows ($bn)</t>
  </si>
  <si>
    <t xml:space="preserve">European Equity ETF Flows ($bn)</t>
  </si>
  <si>
    <t xml:space="preserve">US vs EU Ratio (x)</t>
  </si>
  <si>
    <t xml:space="preserve">Source: BofA Global Research, ETF.com, Bloomberg. Annual net ETF flow estimates.</t>
  </si>
  <si>
    <t xml:space="preserve">Bull case: Record US overweight (BofA FMS Dec 2025) creates mean-reversion potential if positioning normalises.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</si>
</sst>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0\%"/>
    <numFmt numFmtId="168" formatCode="0.0&quot;pp&quot;"/>
    <numFmt numFmtId="169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9"/>
      <color rgb="FF2E86AB"/>
      <name val="Arial"/>
      <family val="0"/>
      <charset val="1"/>
    </font>
    <font>
      <b val="true"/>
      <i val="true"/>
      <sz val="9"/>
      <color rgb="FF7B241C"/>
      <name val="Arial"/>
      <family val="0"/>
      <charset val="1"/>
    </font>
    <font>
      <b val="true"/>
      <i val="true"/>
      <sz val="9"/>
      <color rgb="FF1E844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4F6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CCCCC"/>
      <rgbColor rgb="FF7F7F7F"/>
      <rgbColor rgb="FF9999FF"/>
      <rgbColor rgb="FFBE4B48"/>
      <rgbColor rgb="FFF9F9F9"/>
      <rgbColor rgb="FFF4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1E8449"/>
      <rgbColor rgb="FF0D1B2A"/>
      <rgbColor rgb="FF333300"/>
      <rgbColor rgb="FF7B241C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Forward P/E: S&amp;P 500 vs MSCI Europe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'Forward PE History'!B1</c:f>
              <c:strCache>
                <c:ptCount val="1"/>
                <c:pt idx="0">
                  <c:v>S&amp;P 500 Fwd P/E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'Forward PE History'!$A$2:$A$13</c:f>
              <c:strCache>
                <c:ptCount val="12"/>
                <c:pt idx="0">
                  <c:v>2004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2012</c:v>
                </c:pt>
                <c:pt idx="5">
                  <c:v>2014</c:v>
                </c:pt>
                <c:pt idx="6">
                  <c:v>2016</c:v>
                </c:pt>
                <c:pt idx="7">
                  <c:v>2018</c:v>
                </c:pt>
                <c:pt idx="8">
                  <c:v>2020</c:v>
                </c:pt>
                <c:pt idx="9">
                  <c:v>2022</c:v>
                </c:pt>
                <c:pt idx="10">
                  <c:v>2024</c:v>
                </c:pt>
                <c:pt idx="11">
                  <c:v>2026</c:v>
                </c:pt>
              </c:strCache>
            </c:strRef>
          </c:cat>
          <c:val>
            <c:numRef>
              <c:f>'Forward PE History'!$B$2:$B$13</c:f>
              <c:numCache>
                <c:formatCode>0.0</c:formatCode>
                <c:ptCount val="12"/>
                <c:pt idx="0">
                  <c:v>17.2</c:v>
                </c:pt>
                <c:pt idx="1">
                  <c:v>16.5</c:v>
                </c:pt>
                <c:pt idx="2">
                  <c:v>11.5</c:v>
                </c:pt>
                <c:pt idx="3">
                  <c:v>13.2</c:v>
                </c:pt>
                <c:pt idx="4">
                  <c:v>13.8</c:v>
                </c:pt>
                <c:pt idx="5">
                  <c:v>17.4</c:v>
                </c:pt>
                <c:pt idx="6">
                  <c:v>17.1</c:v>
                </c:pt>
                <c:pt idx="7">
                  <c:v>16.2</c:v>
                </c:pt>
                <c:pt idx="8">
                  <c:v>22</c:v>
                </c:pt>
                <c:pt idx="9">
                  <c:v>17.1</c:v>
                </c:pt>
                <c:pt idx="10">
                  <c:v>21.5</c:v>
                </c:pt>
                <c:pt idx="11">
                  <c:v>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'Forward PE History'!C1</c:f>
              <c:strCache>
                <c:ptCount val="1"/>
                <c:pt idx="0">
                  <c:v>MSCI Europe Fwd P/E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'Forward PE History'!$A$2:$A$13</c:f>
              <c:strCache>
                <c:ptCount val="12"/>
                <c:pt idx="0">
                  <c:v>2004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2012</c:v>
                </c:pt>
                <c:pt idx="5">
                  <c:v>2014</c:v>
                </c:pt>
                <c:pt idx="6">
                  <c:v>2016</c:v>
                </c:pt>
                <c:pt idx="7">
                  <c:v>2018</c:v>
                </c:pt>
                <c:pt idx="8">
                  <c:v>2020</c:v>
                </c:pt>
                <c:pt idx="9">
                  <c:v>2022</c:v>
                </c:pt>
                <c:pt idx="10">
                  <c:v>2024</c:v>
                </c:pt>
                <c:pt idx="11">
                  <c:v>2026</c:v>
                </c:pt>
              </c:strCache>
            </c:strRef>
          </c:cat>
          <c:val>
            <c:numRef>
              <c:f>'Forward PE History'!$C$2:$C$13</c:f>
              <c:numCache>
                <c:formatCode>0.0</c:formatCode>
                <c:ptCount val="12"/>
                <c:pt idx="0">
                  <c:v>13.5</c:v>
                </c:pt>
                <c:pt idx="1">
                  <c:v>14.2</c:v>
                </c:pt>
                <c:pt idx="2">
                  <c:v>9.3</c:v>
                </c:pt>
                <c:pt idx="3">
                  <c:v>10.8</c:v>
                </c:pt>
                <c:pt idx="4">
                  <c:v>10.4</c:v>
                </c:pt>
                <c:pt idx="5">
                  <c:v>14</c:v>
                </c:pt>
                <c:pt idx="6">
                  <c:v>13.8</c:v>
                </c:pt>
                <c:pt idx="7">
                  <c:v>12.7</c:v>
                </c:pt>
                <c:pt idx="8">
                  <c:v>15.4</c:v>
                </c:pt>
                <c:pt idx="9">
                  <c:v>11.8</c:v>
                </c:pt>
                <c:pt idx="10">
                  <c:v>13</c:v>
                </c:pt>
                <c:pt idx="11">
                  <c:v>13.2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797927"/>
        <c:axId val="94293583"/>
      </c:lineChart>
      <c:catAx>
        <c:axId val="29797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93583"/>
        <c:crosses val="autoZero"/>
        <c:auto val="1"/>
        <c:lblAlgn val="ctr"/>
        <c:lblOffset val="100"/>
        <c:noMultiLvlLbl val="0"/>
      </c:catAx>
      <c:valAx>
        <c:axId val="94293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Fwd 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7979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Sector Weights: S&amp;P 500 vs MSCI Europe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'Sector Composition'!B1</c:f>
              <c:strCache>
                <c:ptCount val="1"/>
                <c:pt idx="0">
                  <c:v>S&amp;P 500 Weight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'Sector Composition'!$A$2:$A$10</c:f>
              <c:strCache>
                <c:ptCount val="9"/>
                <c:pt idx="0">
                  <c:v>Technology</c:v>
                </c:pt>
                <c:pt idx="1">
                  <c:v>Financials</c:v>
                </c:pt>
                <c:pt idx="2">
                  <c:v>Healthcare</c:v>
                </c:pt>
                <c:pt idx="3">
                  <c:v>Industrials</c:v>
                </c:pt>
                <c:pt idx="4">
                  <c:v>Consumer Disc.</c:v>
                </c:pt>
                <c:pt idx="5">
                  <c:v>Communication</c:v>
                </c:pt>
                <c:pt idx="6">
                  <c:v>Energy</c:v>
                </c:pt>
                <c:pt idx="7">
                  <c:v>Materials</c:v>
                </c:pt>
                <c:pt idx="8">
                  <c:v>Other</c:v>
                </c:pt>
              </c:strCache>
            </c:strRef>
          </c:cat>
          <c:val>
            <c:numRef>
              <c:f>'Sector Composition'!$B$2:$B$10</c:f>
              <c:numCache>
                <c:formatCode>0\%</c:formatCode>
                <c:ptCount val="9"/>
                <c:pt idx="0">
                  <c:v>30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9</c:v>
                </c:pt>
                <c:pt idx="6">
                  <c:v>4</c:v>
                </c:pt>
                <c:pt idx="7">
                  <c:v>2</c:v>
                </c:pt>
                <c:pt idx="8">
                  <c:v>9</c:v>
                </c:pt>
              </c:numCache>
            </c:numRef>
          </c:val>
        </c:ser>
        <c:ser>
          <c:idx val="1"/>
          <c:order val="1"/>
          <c:tx>
            <c:strRef>
              <c:f>'Sector Composition'!C1</c:f>
              <c:strCache>
                <c:ptCount val="1"/>
                <c:pt idx="0">
                  <c:v>MSCI Europe Weight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'Sector Composition'!$A$2:$A$10</c:f>
              <c:strCache>
                <c:ptCount val="9"/>
                <c:pt idx="0">
                  <c:v>Technology</c:v>
                </c:pt>
                <c:pt idx="1">
                  <c:v>Financials</c:v>
                </c:pt>
                <c:pt idx="2">
                  <c:v>Healthcare</c:v>
                </c:pt>
                <c:pt idx="3">
                  <c:v>Industrials</c:v>
                </c:pt>
                <c:pt idx="4">
                  <c:v>Consumer Disc.</c:v>
                </c:pt>
                <c:pt idx="5">
                  <c:v>Communication</c:v>
                </c:pt>
                <c:pt idx="6">
                  <c:v>Energy</c:v>
                </c:pt>
                <c:pt idx="7">
                  <c:v>Materials</c:v>
                </c:pt>
                <c:pt idx="8">
                  <c:v>Other</c:v>
                </c:pt>
              </c:strCache>
            </c:strRef>
          </c:cat>
          <c:val>
            <c:numRef>
              <c:f>'Sector Composition'!$C$2:$C$10</c:f>
              <c:numCache>
                <c:formatCode>0\%</c:formatCode>
                <c:ptCount val="9"/>
                <c:pt idx="0">
                  <c:v>8</c:v>
                </c:pt>
                <c:pt idx="1">
                  <c:v>18</c:v>
                </c:pt>
                <c:pt idx="2">
                  <c:v>12</c:v>
                </c:pt>
                <c:pt idx="3">
                  <c:v>14</c:v>
                </c:pt>
                <c:pt idx="4">
                  <c:v>10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21</c:v>
                </c:pt>
              </c:numCache>
            </c:numRef>
          </c:val>
        </c:ser>
        <c:gapWidth val="150"/>
        <c:overlap val="0"/>
        <c:axId val="82938716"/>
        <c:axId val="73400235"/>
      </c:barChart>
      <c:catAx>
        <c:axId val="8293871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Index Weight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00235"/>
        <c:crosses val="autoZero"/>
        <c:auto val="1"/>
        <c:lblAlgn val="ctr"/>
        <c:lblOffset val="100"/>
        <c:noMultiLvlLbl val="0"/>
      </c:catAx>
      <c:valAx>
        <c:axId val="73400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387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EPS Growth: S&amp;P 500 vs MSCI Europe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'EPS Growth'!B1</c:f>
              <c:strCache>
                <c:ptCount val="1"/>
                <c:pt idx="0">
                  <c:v>S&amp;P 500 EPS Growth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'EPS Growth'!$A$2:$A$9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'EPS Growth'!$B$2:$B$9</c:f>
              <c:numCache>
                <c:formatCode>0.0%</c:formatCode>
                <c:ptCount val="8"/>
                <c:pt idx="0">
                  <c:v>0.01</c:v>
                </c:pt>
                <c:pt idx="1">
                  <c:v>-0.13</c:v>
                </c:pt>
                <c:pt idx="2">
                  <c:v>0.49</c:v>
                </c:pt>
                <c:pt idx="3">
                  <c:v>0.085</c:v>
                </c:pt>
                <c:pt idx="4">
                  <c:v>0.012</c:v>
                </c:pt>
                <c:pt idx="5">
                  <c:v>0.098</c:v>
                </c:pt>
                <c:pt idx="6">
                  <c:v>0.125</c:v>
                </c:pt>
                <c:pt idx="7">
                  <c:v>0.13</c:v>
                </c:pt>
              </c:numCache>
            </c:numRef>
          </c:val>
        </c:ser>
        <c:ser>
          <c:idx val="1"/>
          <c:order val="1"/>
          <c:tx>
            <c:strRef>
              <c:f>'EPS Growth'!C1</c:f>
              <c:strCache>
                <c:ptCount val="1"/>
                <c:pt idx="0">
                  <c:v>MSCI Europe EPS Growth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'EPS Growth'!$A$2:$A$9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'EPS Growth'!$C$2:$C$9</c:f>
              <c:numCache>
                <c:formatCode>0.0%</c:formatCode>
                <c:ptCount val="8"/>
                <c:pt idx="0">
                  <c:v>-0.04</c:v>
                </c:pt>
                <c:pt idx="1">
                  <c:v>-0.29</c:v>
                </c:pt>
                <c:pt idx="2">
                  <c:v>0.52</c:v>
                </c:pt>
                <c:pt idx="3">
                  <c:v>0.145</c:v>
                </c:pt>
                <c:pt idx="4">
                  <c:v>-0.04</c:v>
                </c:pt>
                <c:pt idx="5">
                  <c:v>0.042</c:v>
                </c:pt>
                <c:pt idx="6">
                  <c:v>0.055</c:v>
                </c:pt>
                <c:pt idx="7">
                  <c:v>0.06</c:v>
                </c:pt>
              </c:numCache>
            </c:numRef>
          </c:val>
        </c:ser>
        <c:gapWidth val="150"/>
        <c:overlap val="0"/>
        <c:axId val="65678172"/>
        <c:axId val="8751367"/>
      </c:barChart>
      <c:catAx>
        <c:axId val="65678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51367"/>
        <c:crosses val="autoZero"/>
        <c:auto val="1"/>
        <c:lblAlgn val="ctr"/>
        <c:lblOffset val="100"/>
        <c:noMultiLvlLbl val="0"/>
      </c:catAx>
      <c:valAx>
        <c:axId val="8751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EPS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781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Annual Equity ETF Flows: US vs Europe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'Capital Flows'!B1</c:f>
              <c:strCache>
                <c:ptCount val="1"/>
                <c:pt idx="0">
                  <c:v>US Equity ETF Flows ($bn)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'Capital Flows'!$A$2:$A$8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'Capital Flows'!$B$2:$B$8</c:f>
              <c:numCache>
                <c:formatCode>General</c:formatCode>
                <c:ptCount val="7"/>
                <c:pt idx="0">
                  <c:v>69</c:v>
                </c:pt>
                <c:pt idx="1">
                  <c:v>130</c:v>
                </c:pt>
                <c:pt idx="2">
                  <c:v>186</c:v>
                </c:pt>
                <c:pt idx="3">
                  <c:v>310</c:v>
                </c:pt>
                <c:pt idx="4">
                  <c:v>82</c:v>
                </c:pt>
                <c:pt idx="5">
                  <c:v>220</c:v>
                </c:pt>
                <c:pt idx="6">
                  <c:v>231</c:v>
                </c:pt>
              </c:numCache>
            </c:numRef>
          </c:val>
        </c:ser>
        <c:ser>
          <c:idx val="1"/>
          <c:order val="1"/>
          <c:tx>
            <c:strRef>
              <c:f>'Capital Flows'!C1</c:f>
              <c:strCache>
                <c:ptCount val="1"/>
                <c:pt idx="0">
                  <c:v>European Equity ETF Flows ($bn)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'Capital Flows'!$A$2:$A$8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'Capital Flows'!$C$2:$C$8</c:f>
              <c:numCache>
                <c:formatCode>General</c:formatCode>
                <c:ptCount val="7"/>
                <c:pt idx="0">
                  <c:v>18</c:v>
                </c:pt>
                <c:pt idx="1">
                  <c:v>24</c:v>
                </c:pt>
                <c:pt idx="2">
                  <c:v>20</c:v>
                </c:pt>
                <c:pt idx="3">
                  <c:v>41</c:v>
                </c:pt>
                <c:pt idx="4">
                  <c:v>11</c:v>
                </c:pt>
                <c:pt idx="5">
                  <c:v>14</c:v>
                </c:pt>
                <c:pt idx="6">
                  <c:v>14</c:v>
                </c:pt>
              </c:numCache>
            </c:numRef>
          </c:val>
        </c:ser>
        <c:gapWidth val="150"/>
        <c:overlap val="0"/>
        <c:axId val="76177966"/>
        <c:axId val="15509229"/>
      </c:barChart>
      <c:catAx>
        <c:axId val="76177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509229"/>
        <c:crosses val="autoZero"/>
        <c:auto val="1"/>
        <c:lblAlgn val="ctr"/>
        <c:lblOffset val="100"/>
        <c:noMultiLvlLbl val="0"/>
      </c:catAx>
      <c:valAx>
        <c:axId val="15509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Net Flows ($bn)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779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15</xdr:col>
      <xdr:colOff>364680</xdr:colOff>
      <xdr:row>19</xdr:row>
      <xdr:rowOff>20160</xdr:rowOff>
    </xdr:to>
    <xdr:graphicFrame>
      <xdr:nvGraphicFramePr>
        <xdr:cNvPr id="0" name="Chart 1"/>
        <xdr:cNvGraphicFramePr/>
      </xdr:nvGraphicFramePr>
      <xdr:xfrm>
        <a:off x="427680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15</xdr:col>
      <xdr:colOff>364680</xdr:colOff>
      <xdr:row>22</xdr:row>
      <xdr:rowOff>168480</xdr:rowOff>
    </xdr:to>
    <xdr:graphicFrame>
      <xdr:nvGraphicFramePr>
        <xdr:cNvPr id="1" name="Chart 1"/>
        <xdr:cNvGraphicFramePr/>
      </xdr:nvGraphicFramePr>
      <xdr:xfrm>
        <a:off x="4981680" y="190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15</xdr:col>
      <xdr:colOff>364320</xdr:colOff>
      <xdr:row>19</xdr:row>
      <xdr:rowOff>20160</xdr:rowOff>
    </xdr:to>
    <xdr:graphicFrame>
      <xdr:nvGraphicFramePr>
        <xdr:cNvPr id="2" name="Chart 1"/>
        <xdr:cNvGraphicFramePr/>
      </xdr:nvGraphicFramePr>
      <xdr:xfrm>
        <a:off x="512244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15</xdr:col>
      <xdr:colOff>364320</xdr:colOff>
      <xdr:row>19</xdr:row>
      <xdr:rowOff>20160</xdr:rowOff>
    </xdr:to>
    <xdr:graphicFrame>
      <xdr:nvGraphicFramePr>
        <xdr:cNvPr id="3" name="Chart 1"/>
        <xdr:cNvGraphicFramePr/>
      </xdr:nvGraphicFramePr>
      <xdr:xfrm>
        <a:off x="540432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2004</v>
      </c>
      <c r="B2" s="3" t="n">
        <v>17.2</v>
      </c>
      <c r="C2" s="3" t="n">
        <v>13.5</v>
      </c>
      <c r="D2" s="4" t="n">
        <f aca="false">(B2-C2)/B2</f>
        <v>0.215116279069767</v>
      </c>
    </row>
    <row r="3" customFormat="false" ht="15" hidden="false" customHeight="false" outlineLevel="0" collapsed="false">
      <c r="A3" s="5" t="n">
        <v>2006</v>
      </c>
      <c r="B3" s="6" t="n">
        <v>16.5</v>
      </c>
      <c r="C3" s="6" t="n">
        <v>14.2</v>
      </c>
      <c r="D3" s="7" t="n">
        <f aca="false">(B3-C3)/B3</f>
        <v>0.139393939393939</v>
      </c>
    </row>
    <row r="4" customFormat="false" ht="15" hidden="false" customHeight="false" outlineLevel="0" collapsed="false">
      <c r="A4" s="2" t="n">
        <v>2008</v>
      </c>
      <c r="B4" s="3" t="n">
        <v>11.5</v>
      </c>
      <c r="C4" s="3" t="n">
        <v>9.3</v>
      </c>
      <c r="D4" s="4" t="n">
        <f aca="false">(B4-C4)/B4</f>
        <v>0.191304347826087</v>
      </c>
    </row>
    <row r="5" customFormat="false" ht="15" hidden="false" customHeight="false" outlineLevel="0" collapsed="false">
      <c r="A5" s="5" t="n">
        <v>2010</v>
      </c>
      <c r="B5" s="6" t="n">
        <v>13.2</v>
      </c>
      <c r="C5" s="6" t="n">
        <v>10.8</v>
      </c>
      <c r="D5" s="7" t="n">
        <f aca="false">(B5-C5)/B5</f>
        <v>0.181818181818182</v>
      </c>
    </row>
    <row r="6" customFormat="false" ht="15" hidden="false" customHeight="false" outlineLevel="0" collapsed="false">
      <c r="A6" s="2" t="n">
        <v>2012</v>
      </c>
      <c r="B6" s="3" t="n">
        <v>13.8</v>
      </c>
      <c r="C6" s="3" t="n">
        <v>10.4</v>
      </c>
      <c r="D6" s="4" t="n">
        <f aca="false">(B6-C6)/B6</f>
        <v>0.246376811594203</v>
      </c>
    </row>
    <row r="7" customFormat="false" ht="15" hidden="false" customHeight="false" outlineLevel="0" collapsed="false">
      <c r="A7" s="5" t="n">
        <v>2014</v>
      </c>
      <c r="B7" s="6" t="n">
        <v>17.4</v>
      </c>
      <c r="C7" s="6" t="n">
        <v>14</v>
      </c>
      <c r="D7" s="7" t="n">
        <f aca="false">(B7-C7)/B7</f>
        <v>0.195402298850575</v>
      </c>
    </row>
    <row r="8" customFormat="false" ht="15" hidden="false" customHeight="false" outlineLevel="0" collapsed="false">
      <c r="A8" s="2" t="n">
        <v>2016</v>
      </c>
      <c r="B8" s="3" t="n">
        <v>17.1</v>
      </c>
      <c r="C8" s="3" t="n">
        <v>13.8</v>
      </c>
      <c r="D8" s="4" t="n">
        <f aca="false">(B8-C8)/B8</f>
        <v>0.192982456140351</v>
      </c>
    </row>
    <row r="9" customFormat="false" ht="15" hidden="false" customHeight="false" outlineLevel="0" collapsed="false">
      <c r="A9" s="5" t="n">
        <v>2018</v>
      </c>
      <c r="B9" s="6" t="n">
        <v>16.2</v>
      </c>
      <c r="C9" s="6" t="n">
        <v>12.7</v>
      </c>
      <c r="D9" s="7" t="n">
        <f aca="false">(B9-C9)/B9</f>
        <v>0.216049382716049</v>
      </c>
    </row>
    <row r="10" customFormat="false" ht="15" hidden="false" customHeight="false" outlineLevel="0" collapsed="false">
      <c r="A10" s="2" t="n">
        <v>2020</v>
      </c>
      <c r="B10" s="3" t="n">
        <v>22</v>
      </c>
      <c r="C10" s="3" t="n">
        <v>15.4</v>
      </c>
      <c r="D10" s="4" t="n">
        <f aca="false">(B10-C10)/B10</f>
        <v>0.3</v>
      </c>
    </row>
    <row r="11" customFormat="false" ht="15" hidden="false" customHeight="false" outlineLevel="0" collapsed="false">
      <c r="A11" s="5" t="n">
        <v>2022</v>
      </c>
      <c r="B11" s="6" t="n">
        <v>17.1</v>
      </c>
      <c r="C11" s="6" t="n">
        <v>11.8</v>
      </c>
      <c r="D11" s="7" t="n">
        <f aca="false">(B11-C11)/B11</f>
        <v>0.309941520467836</v>
      </c>
    </row>
    <row r="12" customFormat="false" ht="15" hidden="false" customHeight="false" outlineLevel="0" collapsed="false">
      <c r="A12" s="2" t="n">
        <v>2024</v>
      </c>
      <c r="B12" s="3" t="n">
        <v>21.5</v>
      </c>
      <c r="C12" s="3" t="n">
        <v>13</v>
      </c>
      <c r="D12" s="4" t="n">
        <f aca="false">(B12-C12)/B12</f>
        <v>0.395348837209302</v>
      </c>
    </row>
    <row r="13" customFormat="false" ht="15" hidden="false" customHeight="false" outlineLevel="0" collapsed="false">
      <c r="A13" s="5" t="n">
        <v>2026</v>
      </c>
      <c r="B13" s="6" t="n">
        <v>21</v>
      </c>
      <c r="C13" s="6" t="n">
        <v>13.2</v>
      </c>
      <c r="D13" s="7" t="n">
        <f aca="false">(B13-C13)/B13</f>
        <v>0.371428571428571</v>
      </c>
    </row>
    <row r="15" customFormat="false" ht="15" hidden="false" customHeight="false" outlineLevel="0" collapsed="false">
      <c r="A15" s="8" t="s">
        <v>4</v>
      </c>
      <c r="B15" s="8"/>
      <c r="C15" s="8"/>
      <c r="D15" s="8"/>
    </row>
    <row r="17" customFormat="false" ht="15" hidden="false" customHeight="false" outlineLevel="0" collapsed="false">
      <c r="A17" s="9" t="s">
        <v>5</v>
      </c>
      <c r="B17" s="10" t="n">
        <f aca="false">(B13-C13)/B13</f>
        <v>0.371428571428571</v>
      </c>
    </row>
    <row r="18" customFormat="false" ht="15" hidden="false" customHeight="false" outlineLevel="0" collapsed="false">
      <c r="A18" s="9" t="s">
        <v>6</v>
      </c>
      <c r="B18" s="10" t="n">
        <f aca="false">AVERAGE(D2:D13)</f>
        <v>0.246263552209572</v>
      </c>
    </row>
  </sheetData>
  <mergeCells count="1"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</row>
    <row r="2" customFormat="false" ht="15" hidden="false" customHeight="false" outlineLevel="0" collapsed="false">
      <c r="A2" s="2" t="s">
        <v>11</v>
      </c>
      <c r="B2" s="11" t="n">
        <v>30</v>
      </c>
      <c r="C2" s="11" t="n">
        <v>8</v>
      </c>
      <c r="D2" s="12" t="n">
        <f aca="false">B2-C2</f>
        <v>22</v>
      </c>
    </row>
    <row r="3" customFormat="false" ht="15" hidden="false" customHeight="false" outlineLevel="0" collapsed="false">
      <c r="A3" s="5" t="s">
        <v>12</v>
      </c>
      <c r="B3" s="13" t="n">
        <v>13</v>
      </c>
      <c r="C3" s="13" t="n">
        <v>18</v>
      </c>
      <c r="D3" s="14" t="n">
        <f aca="false">B3-C3</f>
        <v>-5</v>
      </c>
    </row>
    <row r="4" customFormat="false" ht="15" hidden="false" customHeight="false" outlineLevel="0" collapsed="false">
      <c r="A4" s="2" t="s">
        <v>13</v>
      </c>
      <c r="B4" s="11" t="n">
        <v>13</v>
      </c>
      <c r="C4" s="11" t="n">
        <v>12</v>
      </c>
      <c r="D4" s="12" t="n">
        <f aca="false">B4-C4</f>
        <v>1</v>
      </c>
    </row>
    <row r="5" customFormat="false" ht="15" hidden="false" customHeight="false" outlineLevel="0" collapsed="false">
      <c r="A5" s="5" t="s">
        <v>14</v>
      </c>
      <c r="B5" s="13" t="n">
        <v>9</v>
      </c>
      <c r="C5" s="13" t="n">
        <v>14</v>
      </c>
      <c r="D5" s="14" t="n">
        <f aca="false">B5-C5</f>
        <v>-5</v>
      </c>
    </row>
    <row r="6" customFormat="false" ht="15" hidden="false" customHeight="false" outlineLevel="0" collapsed="false">
      <c r="A6" s="2" t="s">
        <v>15</v>
      </c>
      <c r="B6" s="11" t="n">
        <v>11</v>
      </c>
      <c r="C6" s="11" t="n">
        <v>10</v>
      </c>
      <c r="D6" s="12" t="n">
        <f aca="false">B6-C6</f>
        <v>1</v>
      </c>
    </row>
    <row r="7" customFormat="false" ht="15" hidden="false" customHeight="false" outlineLevel="0" collapsed="false">
      <c r="A7" s="5" t="s">
        <v>16</v>
      </c>
      <c r="B7" s="13" t="n">
        <v>9</v>
      </c>
      <c r="C7" s="13" t="n">
        <v>4</v>
      </c>
      <c r="D7" s="14" t="n">
        <f aca="false">B7-C7</f>
        <v>5</v>
      </c>
    </row>
    <row r="8" customFormat="false" ht="15" hidden="false" customHeight="false" outlineLevel="0" collapsed="false">
      <c r="A8" s="2" t="s">
        <v>17</v>
      </c>
      <c r="B8" s="11" t="n">
        <v>4</v>
      </c>
      <c r="C8" s="11" t="n">
        <v>6</v>
      </c>
      <c r="D8" s="12" t="n">
        <f aca="false">B8-C8</f>
        <v>-2</v>
      </c>
    </row>
    <row r="9" customFormat="false" ht="15" hidden="false" customHeight="false" outlineLevel="0" collapsed="false">
      <c r="A9" s="5" t="s">
        <v>18</v>
      </c>
      <c r="B9" s="13" t="n">
        <v>2</v>
      </c>
      <c r="C9" s="13" t="n">
        <v>7</v>
      </c>
      <c r="D9" s="14" t="n">
        <f aca="false">B9-C9</f>
        <v>-5</v>
      </c>
    </row>
    <row r="10" customFormat="false" ht="15" hidden="false" customHeight="false" outlineLevel="0" collapsed="false">
      <c r="A10" s="2" t="s">
        <v>19</v>
      </c>
      <c r="B10" s="11" t="n">
        <v>9</v>
      </c>
      <c r="C10" s="11" t="n">
        <v>21</v>
      </c>
      <c r="D10" s="12" t="n">
        <f aca="false">B10-C10</f>
        <v>-12</v>
      </c>
    </row>
    <row r="11" customFormat="false" ht="15" hidden="false" customHeight="false" outlineLevel="0" collapsed="false">
      <c r="A11" s="9" t="s">
        <v>20</v>
      </c>
      <c r="B11" s="15" t="n">
        <f aca="false">SUM(B2:B10)</f>
        <v>100</v>
      </c>
      <c r="C11" s="15" t="n">
        <f aca="false">SUM(C2:C10)</f>
        <v>100</v>
      </c>
    </row>
    <row r="13" customFormat="false" ht="15" hidden="false" customHeight="false" outlineLevel="0" collapsed="false">
      <c r="A13" s="8" t="s">
        <v>21</v>
      </c>
      <c r="B13" s="8"/>
      <c r="C13" s="8"/>
      <c r="D13" s="8"/>
    </row>
    <row r="14" customFormat="false" ht="15" hidden="false" customHeight="false" outlineLevel="0" collapsed="false">
      <c r="A14" s="16" t="s">
        <v>22</v>
      </c>
      <c r="B14" s="16"/>
      <c r="C14" s="16"/>
      <c r="D14" s="16"/>
    </row>
  </sheetData>
  <mergeCells count="2"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</row>
    <row r="2" customFormat="false" ht="15" hidden="false" customHeight="false" outlineLevel="0" collapsed="false">
      <c r="A2" s="2" t="n">
        <v>2019</v>
      </c>
      <c r="B2" s="17" t="n">
        <v>0.01</v>
      </c>
      <c r="C2" s="17" t="n">
        <v>-0.04</v>
      </c>
      <c r="D2" s="18" t="n">
        <f aca="false">B2-C2</f>
        <v>0.05</v>
      </c>
    </row>
    <row r="3" customFormat="false" ht="15" hidden="false" customHeight="false" outlineLevel="0" collapsed="false">
      <c r="A3" s="5" t="n">
        <v>2020</v>
      </c>
      <c r="B3" s="19" t="n">
        <v>-0.13</v>
      </c>
      <c r="C3" s="19" t="n">
        <v>-0.29</v>
      </c>
      <c r="D3" s="20" t="n">
        <f aca="false">B3-C3</f>
        <v>0.16</v>
      </c>
    </row>
    <row r="4" customFormat="false" ht="15" hidden="false" customHeight="false" outlineLevel="0" collapsed="false">
      <c r="A4" s="2" t="n">
        <v>2021</v>
      </c>
      <c r="B4" s="17" t="n">
        <v>0.49</v>
      </c>
      <c r="C4" s="17" t="n">
        <v>0.52</v>
      </c>
      <c r="D4" s="18" t="n">
        <f aca="false">B4-C4</f>
        <v>-0.03</v>
      </c>
    </row>
    <row r="5" customFormat="false" ht="15" hidden="false" customHeight="false" outlineLevel="0" collapsed="false">
      <c r="A5" s="5" t="n">
        <v>2022</v>
      </c>
      <c r="B5" s="19" t="n">
        <v>0.085</v>
      </c>
      <c r="C5" s="19" t="n">
        <v>0.145</v>
      </c>
      <c r="D5" s="20" t="n">
        <f aca="false">B5-C5</f>
        <v>-0.06</v>
      </c>
    </row>
    <row r="6" customFormat="false" ht="15" hidden="false" customHeight="false" outlineLevel="0" collapsed="false">
      <c r="A6" s="2" t="n">
        <v>2023</v>
      </c>
      <c r="B6" s="17" t="n">
        <v>0.012</v>
      </c>
      <c r="C6" s="17" t="n">
        <v>-0.04</v>
      </c>
      <c r="D6" s="18" t="n">
        <f aca="false">B6-C6</f>
        <v>0.052</v>
      </c>
    </row>
    <row r="7" customFormat="false" ht="15" hidden="false" customHeight="false" outlineLevel="0" collapsed="false">
      <c r="A7" s="5" t="n">
        <v>2024</v>
      </c>
      <c r="B7" s="19" t="n">
        <v>0.098</v>
      </c>
      <c r="C7" s="19" t="n">
        <v>0.042</v>
      </c>
      <c r="D7" s="20" t="n">
        <f aca="false">B7-C7</f>
        <v>0.056</v>
      </c>
    </row>
    <row r="8" customFormat="false" ht="15" hidden="false" customHeight="false" outlineLevel="0" collapsed="false">
      <c r="A8" s="2" t="n">
        <v>2025</v>
      </c>
      <c r="B8" s="17" t="n">
        <v>0.125</v>
      </c>
      <c r="C8" s="17" t="n">
        <v>0.055</v>
      </c>
      <c r="D8" s="18" t="n">
        <f aca="false">B8-C8</f>
        <v>0.07</v>
      </c>
    </row>
    <row r="9" customFormat="false" ht="15" hidden="false" customHeight="false" outlineLevel="0" collapsed="false">
      <c r="A9" s="5" t="n">
        <v>2026</v>
      </c>
      <c r="B9" s="19" t="n">
        <v>0.13</v>
      </c>
      <c r="C9" s="19" t="n">
        <v>0.06</v>
      </c>
      <c r="D9" s="20" t="n">
        <f aca="false">B9-C9</f>
        <v>0.07</v>
      </c>
    </row>
    <row r="11" customFormat="false" ht="15" hidden="false" customHeight="false" outlineLevel="0" collapsed="false">
      <c r="A11" s="8" t="s">
        <v>26</v>
      </c>
      <c r="B11" s="8"/>
      <c r="C11" s="8"/>
      <c r="D11" s="8"/>
    </row>
    <row r="12" customFormat="false" ht="15" hidden="false" customHeight="false" outlineLevel="0" collapsed="false">
      <c r="A12" s="21" t="s">
        <v>27</v>
      </c>
      <c r="B12" s="21"/>
      <c r="C12" s="21"/>
      <c r="D12" s="21"/>
    </row>
  </sheetData>
  <mergeCells count="2"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1" t="s">
        <v>0</v>
      </c>
      <c r="B1" s="1" t="s">
        <v>28</v>
      </c>
      <c r="C1" s="1" t="s">
        <v>29</v>
      </c>
      <c r="D1" s="1" t="s">
        <v>30</v>
      </c>
    </row>
    <row r="2" customFormat="false" ht="15" hidden="false" customHeight="false" outlineLevel="0" collapsed="false">
      <c r="A2" s="2" t="n">
        <v>2018</v>
      </c>
      <c r="B2" s="22" t="n">
        <v>69</v>
      </c>
      <c r="C2" s="22" t="n">
        <v>18</v>
      </c>
      <c r="D2" s="23" t="n">
        <f aca="false">B2/C2</f>
        <v>3.83333333333333</v>
      </c>
    </row>
    <row r="3" customFormat="false" ht="15" hidden="false" customHeight="false" outlineLevel="0" collapsed="false">
      <c r="A3" s="5" t="n">
        <v>2019</v>
      </c>
      <c r="B3" s="24" t="n">
        <v>130</v>
      </c>
      <c r="C3" s="24" t="n">
        <v>24</v>
      </c>
      <c r="D3" s="25" t="n">
        <f aca="false">B3/C3</f>
        <v>5.41666666666667</v>
      </c>
    </row>
    <row r="4" customFormat="false" ht="15" hidden="false" customHeight="false" outlineLevel="0" collapsed="false">
      <c r="A4" s="2" t="n">
        <v>2020</v>
      </c>
      <c r="B4" s="22" t="n">
        <v>186</v>
      </c>
      <c r="C4" s="22" t="n">
        <v>20</v>
      </c>
      <c r="D4" s="23" t="n">
        <f aca="false">B4/C4</f>
        <v>9.3</v>
      </c>
    </row>
    <row r="5" customFormat="false" ht="15" hidden="false" customHeight="false" outlineLevel="0" collapsed="false">
      <c r="A5" s="5" t="n">
        <v>2021</v>
      </c>
      <c r="B5" s="24" t="n">
        <v>310</v>
      </c>
      <c r="C5" s="24" t="n">
        <v>41</v>
      </c>
      <c r="D5" s="25" t="n">
        <f aca="false">B5/C5</f>
        <v>7.5609756097561</v>
      </c>
    </row>
    <row r="6" customFormat="false" ht="15" hidden="false" customHeight="false" outlineLevel="0" collapsed="false">
      <c r="A6" s="2" t="n">
        <v>2022</v>
      </c>
      <c r="B6" s="22" t="n">
        <v>82</v>
      </c>
      <c r="C6" s="22" t="n">
        <v>11</v>
      </c>
      <c r="D6" s="23" t="n">
        <f aca="false">B6/C6</f>
        <v>7.45454545454545</v>
      </c>
    </row>
    <row r="7" customFormat="false" ht="15" hidden="false" customHeight="false" outlineLevel="0" collapsed="false">
      <c r="A7" s="5" t="n">
        <v>2023</v>
      </c>
      <c r="B7" s="24" t="n">
        <v>220</v>
      </c>
      <c r="C7" s="24" t="n">
        <v>14</v>
      </c>
      <c r="D7" s="25" t="n">
        <f aca="false">B7/C7</f>
        <v>15.7142857142857</v>
      </c>
    </row>
    <row r="8" customFormat="false" ht="15" hidden="false" customHeight="false" outlineLevel="0" collapsed="false">
      <c r="A8" s="2" t="n">
        <v>2024</v>
      </c>
      <c r="B8" s="22" t="n">
        <v>231</v>
      </c>
      <c r="C8" s="22" t="n">
        <v>14</v>
      </c>
      <c r="D8" s="23" t="n">
        <f aca="false">B8/C8</f>
        <v>16.5</v>
      </c>
    </row>
    <row r="10" customFormat="false" ht="15" hidden="false" customHeight="false" outlineLevel="0" collapsed="false">
      <c r="A10" s="8" t="s">
        <v>31</v>
      </c>
      <c r="B10" s="8"/>
      <c r="C10" s="8"/>
      <c r="D10" s="8"/>
    </row>
    <row r="11" customFormat="false" ht="15" hidden="false" customHeight="false" outlineLevel="0" collapsed="false">
      <c r="A11" s="26" t="s">
        <v>32</v>
      </c>
      <c r="B11" s="26"/>
      <c r="C11" s="26"/>
      <c r="D11" s="26"/>
    </row>
  </sheetData>
  <mergeCells count="2"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2026-03-02T21:07:36Z</dcterms:created>
  <dc:creator>openpyxl</dc:creator>
  <dc:description/>
  <dc:language>en-US</dc:language>
  <cp:lastModifiedBy/>
  <dcterms:modified xsi:type="dcterms:W3CDTF">2026-03-02T21:07:38Z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