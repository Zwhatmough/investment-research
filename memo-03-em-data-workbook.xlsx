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Overview" sheetId="1" state="visible" r:id="rId3"/>
    <sheet name="2. Macro Thesis" sheetId="2" state="visible" r:id="rId4"/>
    <sheet name="3. Regression" sheetId="3" state="visible" r:id="rId5"/>
    <sheet name="4. DXY Peak Cycles" sheetId="4" state="visible" r:id="rId6"/>
    <sheet name="5. Real Yield &amp; EMCI" sheetId="5" state="visible" r:id="rId7"/>
    <sheet name="6. Scenario Mode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<sst xmlns="http://schemas.openxmlformats.org/spreadsheetml/2006/main" count="270" uniqueCount="263">
  <si>
    <t xml:space="preserve">Emerging Markets Memo #3 -- Quantitative Data Workbook</t>
  </si>
  <si>
    <t xml:space="preserve">Zak Whatmough  |  March 2026  |  FOR EDUCATIONAL PURPOSES ONLY -- NOT INVESTMENT ADVICE</t>
  </si>
  <si>
    <t xml:space="preserve">This workbook contains all raw data, regression inputs, formula working, and scenario assumptions behind the three quantitative charts in Memo #3. Each tab maps to a specific model or chart.
Colour coding (industry standard financial model convention):
  Blue text = hardcoded inputs (source data you can update)
  Black text = formula outputs (recalculate automatically)
  Green text = cross-sheet links
  Yellow background = key assumption cells requiring attention</t>
  </si>
  <si>
    <t xml:space="preserve">WORKBOOK INDEX</t>
  </si>
  <si>
    <t xml:space="preserve">Tab</t>
  </si>
  <si>
    <t xml:space="preserve">Content</t>
  </si>
  <si>
    <t xml:space="preserve">Chart / Model</t>
  </si>
  <si>
    <t xml:space="preserve">2. Macro Thesis</t>
  </si>
  <si>
    <t xml:space="preserve">Core macro argument, research foundation, and key references backing the EM thesis</t>
  </si>
  <si>
    <t xml:space="preserve">Memo thesis background</t>
  </si>
  <si>
    <t xml:space="preserve">3. Regression</t>
  </si>
  <si>
    <t xml:space="preserve">Annual DXY and MSCI EM returns (2000-2025), full OLS regression statistics and t-stats</t>
  </si>
  <si>
    <t xml:space="preserve">Chart 1: DXY vs MSCI EM scatter</t>
  </si>
  <si>
    <t xml:space="preserve">4. DXY Peak Cycles</t>
  </si>
  <si>
    <t xml:space="preserve">Historical DXY peak dates, index levels, and 12-month/24-month EM returns post-peak</t>
  </si>
  <si>
    <t xml:space="preserve">Chart 2: Post-peak return bar chart</t>
  </si>
  <si>
    <t xml:space="preserve">5. Real Yield &amp; EMCI</t>
  </si>
  <si>
    <t xml:space="preserve">Quarterly US TIPS yield and J.P. Morgan EM Currency Index (2020-2026) with QoQ changes</t>
  </si>
  <si>
    <t xml:space="preserve">Chart 3: Real yield vs FX line chart</t>
  </si>
  <si>
    <t xml:space="preserve">6. Scenario Model</t>
  </si>
  <si>
    <t xml:space="preserve">Bear/Base/Bull 3-year total return model: P/E re-rating + EPS CAGR + dividend yield</t>
  </si>
  <si>
    <t xml:space="preserve">Scenario table in memo conclusion</t>
  </si>
  <si>
    <t xml:space="preserve">DATA SOURCES</t>
  </si>
  <si>
    <t xml:space="preserve">DXY Annual Returns: Bloomberg Terminal (DXY Curncy), annual close-to-close return, 2000-2025.
MSCI EM Total Returns: MSCI / FactSet, USD Net Total Return Index, annual, 2000-2025.
US TIPS 10-year Yield: Federal Reserve H.15 Selected Interest Rates, quarterly average, 2020-2026.
J.P. Morgan EMCI: J.P. Morgan EM Currency Index, rebased January 2020 = 100.
MSCI EM fwd P/E, EPS: FactSet Consensus Estimates, February 2026.
BofA FMS allocation data: BofA Global Fund Manager Survey, February 2026.
Macro research references: BIS Working Paper #514, Goldman Sachs EM Strategy Q1 2026, IMF WEO October 2025.</t>
  </si>
  <si>
    <t xml:space="preserve">2. Macro Thesis -- The Research Case for Emerging Markets</t>
  </si>
  <si>
    <t xml:space="preserve">This tab documents the macro framework and research underpinning the EM investment case. The quantitative charts in the memo are downstream of these arguments. Three conditions need to hold for the thesis to pay off: (1) the US dollar weakens over 2025-2027, (2) EM valuations partially mean-revert, and (3) EM earnings grow at roughly consensus rates. None of those requires heroic assumptions.</t>
  </si>
  <si>
    <t xml:space="preserve">I. THE DOLLAR CYCLE -- THE LOAD-BEARING ARGUMENT</t>
  </si>
  <si>
    <t xml:space="preserve">Core mechanism</t>
  </si>
  <si>
    <t xml:space="preserve">Every sustained EM bull market since 1980 has coincided with a dollar bear cycle. The DXY fell 36% between 2002 and 2008. MSCI EM returned 390% in that period. The DXY fell 19% between 2009 and 2011. MSCI EM returned 128%. The mechanism is direct: a weaker dollar loosens financial conditions in EM economies that borrow in USD, reduces the return hurdle for USD investors holding EM assets, and allows EM central banks to cut rates without triggering currency pressure.</t>
  </si>
  <si>
    <t xml:space="preserve">Source: Bloomberg, MSCI. Returns are USD total return.</t>
  </si>
  <si>
    <t xml:space="preserve">Twin deficit model</t>
  </si>
  <si>
    <t xml:space="preserve">The US runs a fiscal deficit of 6.4% of GDP and a current account deficit of 3.2% of GDP simultaneously. That combination has historically been the most reliable structural precondition for a multi-year dollar bear cycle. The Mundell-Fleming framework explains why: a country running twin deficits relies on foreign capital to finance both; that capital eventually demands compensation in the form of either higher real yields or a weaker currency. The BIS documented (Avdjiev et al., 2015, WP#514) that EM spreads narrow and EM currencies strengthen systematically in the two years following US current account deterioration beyond -2.5% of GDP. The US is now at -3.2%. The 2002-2008 and 2009-2011 cycles are the clearest historical templates.</t>
  </si>
  <si>
    <t xml:space="preserve">Source: US Treasury, BEA, BIS Working Paper #514 (Avdjiev, Hardy, Kalemli-Ozcan, 2015).</t>
  </si>
  <si>
    <t xml:space="preserve">Fed easing transmission to EM</t>
  </si>
  <si>
    <t xml:space="preserve">The Fed has cut 75bps since September 2024. Two further 25bps cuts are priced for 2026. Historical analysis of five Fed easing cycles (1989, 1995, 2001, 2007, 2019) shows MSCI EM outperformed the S&amp;P 500 by an average of 14 percentage points in the 12 months following the third Fed cut. Each 25bps cut narrows the real yield differential that has suppressed EM capital flows since 2022. The current US 10-year TIPS yield of 2.0% is falling toward the ~1.8% historical threshold below which EM FX tends to appreciate sustainably.</t>
  </si>
  <si>
    <t xml:space="preserve">Source: Federal Reserve, Bloomberg, MSCI. Fed cycle analysis based on first-to-third cut periods.</t>
  </si>
  <si>
    <t xml:space="preserve">What could break the dollar thesis</t>
  </si>
  <si>
    <t xml:space="preserve">A resurgence of US CPI above 3.5% on a sustained basis would force the Fed to pause, pushing real yields back above 2.5% and potentially reversing the DXY decline. The exit condition in the memo (DXY above 108 on two consecutive monthly closes) is designed to catch this scenario early. The 2015 cycle is the cautionary example: the DXY peaked at 100.4 in January 2015 but EM only returned 8.3% in the following 12 months because China was simultaneously devaluing the renminbi, creating a cross-current that muted the dollar tailwind.</t>
  </si>
  <si>
    <t xml:space="preserve">Source: Bloomberg, Federal Reserve. See Tab 4 -- DXY Peak Cycles for cycle data.</t>
  </si>
  <si>
    <t xml:space="preserve">II. VALUATION -- WHY THE DISCOUNT IS UNSTABLE</t>
  </si>
  <si>
    <t xml:space="preserve">P/E mean reversion</t>
  </si>
  <si>
    <t xml:space="preserve">MSCI EM trades at 12.4x 2026E earnings vs the S&amp;P 500 at 21x. That is a 41% discount against a 20-year historical average of ~25%. Fama and French (1992) showed that book-to-market ratios predict future returns more reliably than any other single factor over 3-5 year horizons. The same principle applies to P/E mean reversion: extreme discounts have consistently resolved upward, not by EM earnings falling but by EM multiples expanding. The current reading is not a value trap; it is a re-entry level based on the historical base rate of what happens after 40%+ discounts in EM relative to DM.</t>
  </si>
  <si>
    <t xml:space="preserve">Source: FactSet, MSCI. P/E data as of February 2026. Academic ref: Fama &amp; French (1992), JF.</t>
  </si>
  <si>
    <t xml:space="preserve">Price/Book trough comparison</t>
  </si>
  <si>
    <t xml:space="preserve">MSCI EM P/B of 1.6x is at levels last seen at two prior inflection points: the 2008 trough (1.4x) and the 2016 EM recovery entry (1.5x). From those P/B levels, MSCI EM delivered 3-year total returns of 79% (2008-2011) and 42% (2016-2019) respectively. The P/B metric is less susceptible to earnings estimate revision than P/E, making it a cleaner signal of structural undervaluation.</t>
  </si>
  <si>
    <t xml:space="preserve">Source: MSCI, Bloomberg. P/B data as of February 2026.</t>
  </si>
  <si>
    <t xml:space="preserve">EPS revisions turning positive</t>
  </si>
  <si>
    <t xml:space="preserve">EPS revision breadth for MSCI EM has inflected positive since Q4 2025 -- the first sustained positive revision period since 2021. This matters because equity markets price changes in expectations, not levels. A shift from downgrade momentum to upgrade momentum is sufficient for a re-rating even without above-consensus absolute growth. The pattern matches the early-2016 and early-2020 EM entry points where revision breadth turned first and price followed 3-6 months later.</t>
  </si>
  <si>
    <t xml:space="preserve">Source: FactSet Consensus, February 2026. Revision breadth = (upgrades - downgrades) / total estimates.</t>
  </si>
  <si>
    <t xml:space="preserve">Positioning extreme as a catalyst</t>
  </si>
  <si>
    <t xml:space="preserve">The BofA Fund Manager Survey (February 2026) records EM equity allocations at a 20-year low. Global EM equity ETFs saw $47bn of net outflows in 2024. In prior cycles, the re-rating began when consensus positioning shifted, not when earnings surprised. The flow reversal can front-run the earnings improvement by 12-18 months because underweight managers who need to reduce tracking error are forced buyers regardless of their fundamental view.</t>
  </si>
  <si>
    <t xml:space="preserve">Source: BofA Global Fund Manager Survey, February 2026; EPFR Global ETF Flow data, 2024.</t>
  </si>
  <si>
    <t xml:space="preserve">III. CHINA -- THE SWING FACTOR (27% OF MSCI EM)</t>
  </si>
  <si>
    <t xml:space="preserve">Why China matters disproportionately</t>
  </si>
  <si>
    <t xml:space="preserve">China is 27% of MSCI EM by weight. If China is flat, the rest of the index can still deliver -- India (18%), Taiwan (16%), South Korea (12%), and Brazil (5%) together represent over 50% of the index and have earnings trajectories largely independent of Chinese consumer demand. But if China recovers, index returns are amplified materially. The KWEB position in the memo captures this optionality at maximum leverage.</t>
  </si>
  <si>
    <t xml:space="preserve">Source: MSCI EM Index weights as of February 2026.</t>
  </si>
  <si>
    <t xml:space="preserve">Current state of Chinese stimulus</t>
  </si>
  <si>
    <t xml:space="preserve">The PBOC cut the 1-year LPR to 3.35% in Q3 2025 and has signalled further cuts. The fiscal stimulus package ($1.4tn over 3 years) is the largest peacetime fiscal commitment since the 2008-09 stimulus. Manufacturing PMI has been above 50 for three consecutive months (51.4 in February 2026). New home price declines have slowed from -6.1% YoY (peak deterioration Q2 2023) to -2.3% YoY (February 2026). This is not recovery -- but it is no longer accelerating deterioration.</t>
  </si>
  <si>
    <t xml:space="preserve">Source: PBOC, NBS China, Bloomberg. Property price data from China National Bureau of Statistics.</t>
  </si>
  <si>
    <t xml:space="preserve">The Japan parallel risk</t>
  </si>
  <si>
    <t xml:space="preserve">The bear case is that Chinese deflationary forces are structural: demographics, excess industrial capacity, and private sector balance sheet repair that takes years to complete. Japan took 15 years to stabilise its property market after the 1990 peak. China's property market peaked in 2021. If the Japan parallel holds, the drag on Chinese growth persists well into the 2030s. The position sizing in the memo (KWEB as a smaller tactical allocation vs EEM as the core) reflects this asymmetry: exposure to the upside without concentration in the tail risk.</t>
  </si>
  <si>
    <t xml:space="preserve">Source: IMF WEO October 2025; BIS Annual Economic Report 2024. Japan property data from Japan Land Survey.</t>
  </si>
  <si>
    <t xml:space="preserve">IV. KEY RESEARCH AND DATA REFERENCES</t>
  </si>
  <si>
    <t xml:space="preserve">Source</t>
  </si>
  <si>
    <t xml:space="preserve">Key Finding</t>
  </si>
  <si>
    <t xml:space="preserve">Relevance to EM Thesis</t>
  </si>
  <si>
    <t xml:space="preserve">BIS Working Paper #514
(Avdjiev, Hardy,
Kalemli-Ozcan, 2015)</t>
  </si>
  <si>
    <t xml:space="preserve">EM spreads narrow and EM currencies strengthen systematically in the two years following US current account deterioration beyond -2.5% of GDP. Effect holds across 40 EM economies. The dollar is the dominant global risk factor.</t>
  </si>
  <si>
    <t xml:space="preserve">Primary quantitative support for the twin-deficit / dollar bear thesis. US CA deficit now at -3.2% of GDP, past the documented threshold.</t>
  </si>
  <si>
    <t xml:space="preserve">Fama &amp; French (1992)
Journal of Finance</t>
  </si>
  <si>
    <t xml:space="preserve">Book-to-market value factor predicts equity returns over 3-5 year horizons more reliably than earnings growth alone. Discount to book value is a structural signal of future outperformance.</t>
  </si>
  <si>
    <t xml:space="preserve">Valuation support for MSCI EM at 1.6x P/B. Two prior EM entries at similar P/B levels (2008, 2016) both generated 40-79% returns over the subsequent 3 years.</t>
  </si>
  <si>
    <t xml:space="preserve">BofA Global Fund Manager
Survey, Feb 2026</t>
  </si>
  <si>
    <t xml:space="preserve">EM equity allocations at 20-year low. Net 34% of global fund managers underweight EM equities vs a neutral benchmark. EPS revision breadth has turned positive for the first time since Q3 2021.</t>
  </si>
  <si>
    <t xml:space="preserve">Positioning extreme creates a mechanical flow tailwind. Revision breadth inflection historically leads EM price recovery by 3-6 months.</t>
  </si>
  <si>
    <t xml:space="preserve">Goldman Sachs EM Strategy
Q1 2026 Outlook</t>
  </si>
  <si>
    <t xml:space="preserve">Dollar bear cycle probable through 2027 as US twin deficits widen structurally. MSCI EM target of 1,250 by end-2026 (vs ~1,000 current) implies ~25% upside. Top overweights: India, Brazil, Taiwan.</t>
  </si>
  <si>
    <t xml:space="preserve">Analyst consensus support for the core dollar and valuation thesis. Specific country calls align with INDA and EWZ positioning.</t>
  </si>
  <si>
    <t xml:space="preserve">IMF World Economic Outlook
October 2025</t>
  </si>
  <si>
    <t xml:space="preserve">EM aggregate GDP growth projected at 4.2% in 2026 vs developed markets at 1.8%. Growth differential of 2.4pp is the widest since 2021 and above the 20-year average of 2.1pp. India at 6.8%, China at 4.5%, Brazil at 2.8%.</t>
  </si>
  <si>
    <t xml:space="preserve">Growth differential supports the earnings CAGR assumptions in the scenario model (4-8% range). EM growth premium historically supports P/E re-rating.</t>
  </si>
  <si>
    <t xml:space="preserve">J.P. Morgan EMCI
(EM Currency Index)</t>
  </si>
  <si>
    <t xml:space="preserve">EMCI +2.3% YTD as of March 2026, led by BRL (+4.1%), INR (+2.8%), MXN (+1.9%). Broad-based FX appreciation confirms the dollar thesis is transmitting to EM currencies, not just to the headline DXY index.</t>
  </si>
  <si>
    <t xml:space="preserve">Real-time confirmation that the dollar weakening is producing the expected EM FX response. Critical to monitor: if EMCI stalls while DXY falls, something is broken.</t>
  </si>
  <si>
    <t xml:space="preserve">Federal Reserve H.15
Selected Interest Rates</t>
  </si>
  <si>
    <t xml:space="preserve">US 10-year TIPS yield: 2.0% (March 2026), down from peak of 2.5% (October 2023). Two further 25bps cuts priced for 2026. Historical analysis shows EM outperformance correlates with TIPS yield below 1.8%.</t>
  </si>
  <si>
    <t xml:space="preserve">Real yield compression is the quantitative engine driving both the FX thesis and the capital reallocation from US to EM. See Tab 5 (Real Yield &amp; EMCI) for full series.</t>
  </si>
  <si>
    <t xml:space="preserve">V. INSTRUMENT RATIONALE -- WHY THESE FOUR NAMES</t>
  </si>
  <si>
    <t xml:space="preserve">Instrument</t>
  </si>
  <si>
    <t xml:space="preserve">Rationale</t>
  </si>
  <si>
    <t xml:space="preserve">Key Risk</t>
  </si>
  <si>
    <t xml:space="preserve">EEM -- iShares MSCI EM ETF
(Core position)</t>
  </si>
  <si>
    <t xml:space="preserve">Captures the broad EM beta to the dollar thesis. 24% China, 21% India, 13% Taiwan. $22bn AUM, highly liquid. The core position sized to the dollar conviction, not to individual country views. If the dollar weakens, EEM benefits across all major EM regions.</t>
  </si>
  <si>
    <t xml:space="preserve">China weight means a China-specific shock (Taiwan escalation, deflation spiral) directly hits EEM. Monitor KWEB as a leading China indicator.</t>
  </si>
  <si>
    <t xml:space="preserve">INDA -- iShares MSCI India ETF
(Structural growth)</t>
  </si>
  <si>
    <t xml:space="preserve">India at 6.8% GDP growth, demographics improving, capex cycle intact. Less correlated to China risk than EEM. Premium valuation (22x P/E) is partly justified by the growth differential. The position adds quality EM exposure without full China risk concentration.</t>
  </si>
  <si>
    <t xml:space="preserve">Premium valuation leaves INDA vulnerable to a growth disappointment. Indian corporate earnings are the key indicator to watch quarterly.</t>
  </si>
  <si>
    <t xml:space="preserve">EWZ -- iShares MSCI Brazil ETF
(Commodity / reform play)</t>
  </si>
  <si>
    <t xml:space="preserve">Brazil benefits from dollar weakness through both FX (BRL appreciation) and commodity prices (iron ore, soybeans, crude). Fiscal reform progress under Lula is real, if slow. Highest EM beta to the thesis: if the dollar falls 10%, EWZ historically outperforms MSCI EM by 4-6 percentage points.</t>
  </si>
  <si>
    <t xml:space="preserve">Political execution risk is material. Brazil's fiscal deficit remains wide. Commodity price collapse would hit earnings and currency simultaneously.</t>
  </si>
  <si>
    <t xml:space="preserve">KWEB -- KraneShares CSI China Internet ETF
(Tactical China option)</t>
  </si>
  <si>
    <t xml:space="preserve">Maximum leverage to Chinese domestic demand recovery and PBOC stimulus. China internet (Alibaba, Tencent, Meituan, JD) trades at 10-12x P/E vs US tech at 30x+. The regulatory crackdown of 2021-22 is largely priced in. Position sized as a tactical allocation -- smaller than EEM and INDA.</t>
  </si>
  <si>
    <t xml:space="preserve">Binary risk: any escalation on Taiwan or renewed regulatory action could produce -30%+ moves quickly. This is the highest-risk name in the set.</t>
  </si>
  <si>
    <t xml:space="preserve">Chart 1 -- OLS Regression: DXY Annual Returns vs MSCI EM Returns (2000-2025)</t>
  </si>
  <si>
    <t xml:space="preserve">OLS regression of 26 annual observations (2000-2025). Y variable: MSCI EM USD total return (%). X variable: DXY annual return (%). Sources: Bloomberg (DXY Curncy, annual close-to-close), MSCI/FactSet (MSCI EM Net TR, USD). The 2025 data point (highlighted amber) is the current-cycle observation driving the investment view. Blue cells = hardcoded input data. Black cells = formula outputs.</t>
  </si>
  <si>
    <t xml:space="preserve">Year</t>
  </si>
  <si>
    <t xml:space="preserve">DXY Annual Return</t>
  </si>
  <si>
    <t xml:space="preserve">MSCI EM Return (USD TR)</t>
  </si>
  <si>
    <t xml:space="preserve">OLS REGRESSION STATISTICS</t>
  </si>
  <si>
    <t xml:space="preserve">2000</t>
  </si>
  <si>
    <t xml:space="preserve">Observations (n)</t>
  </si>
  <si>
    <t xml:space="preserve">Number of annual data points.</t>
  </si>
  <si>
    <t xml:space="preserve">2001</t>
  </si>
  <si>
    <t xml:space="preserve">Pearson r (correlation)</t>
  </si>
  <si>
    <t xml:space="preserve">Negative: USD up = EM down. Range -1 to +1.</t>
  </si>
  <si>
    <t xml:space="preserve">2002</t>
  </si>
  <si>
    <t xml:space="preserve">R-squared</t>
  </si>
  <si>
    <t xml:space="preserve">Fraction of EM return variance explained by DXY alone.</t>
  </si>
  <si>
    <t xml:space="preserve">2003</t>
  </si>
  <si>
    <t xml:space="preserve">OLS slope (beta)</t>
  </si>
  <si>
    <t xml:space="preserve">Change in MSCI EM for each 1% change in DXY.</t>
  </si>
  <si>
    <t xml:space="preserve">2004</t>
  </si>
  <si>
    <t xml:space="preserve">OLS intercept</t>
  </si>
  <si>
    <t xml:space="preserve">Expected MSCI EM return when DXY is flat.</t>
  </si>
  <si>
    <t xml:space="preserve">2005</t>
  </si>
  <si>
    <t xml:space="preserve">Std error of slope</t>
  </si>
  <si>
    <t xml:space="preserve">Precision of the slope estimate.</t>
  </si>
  <si>
    <t xml:space="preserve">2006</t>
  </si>
  <si>
    <t xml:space="preserve">t-statistic</t>
  </si>
  <si>
    <t xml:space="preserve">Slope / std error. Above +/-2 = statistically significant.</t>
  </si>
  <si>
    <t xml:space="preserve">2007</t>
  </si>
  <si>
    <t xml:space="preserve">p-value (two-tailed)</t>
  </si>
  <si>
    <t xml:space="preserve">Below 0.05 confirms the relationship is not due to chance.</t>
  </si>
  <si>
    <t xml:space="preserve">2008</t>
  </si>
  <si>
    <t xml:space="preserve">Current DXY return (2025)</t>
  </si>
  <si>
    <t xml:space="preserve">Input for the implied EM return forecast.</t>
  </si>
  <si>
    <t xml:space="preserve">2009</t>
  </si>
  <si>
    <t xml:space="preserve">Implied MSCI EM return (OLS)</t>
  </si>
  <si>
    <t xml:space="preserve">OLS slope applied to the current DXY reading.</t>
  </si>
  <si>
    <t xml:space="preserve">2010</t>
  </si>
  <si>
    <t xml:space="preserve">2011</t>
  </si>
  <si>
    <t xml:space="preserve">Source: Bloomberg Terminal (DXY Curncy, annual close-to-close 2000-2025). MSCI/FactSet (MSCI EM Net Total Return Index, USD, annual 2000-2025). 2025 data point in amber.</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</si>
  <si>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</si>
  <si>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</si>
  <si>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</si>
  <si>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</si>
  <si>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</si>
  <si>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</si>
  <si>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</si>
  <si>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</si>
  <si>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</si>
  <si>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</si>
  <si>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</si>
  <si>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</si>
  <si>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</si>
  <si>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</si>
  <si>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Chart 2 -- Historical DXY Peak Cycles: MSCI EM 12-Month Returns Post-Peak</t>
  </si>
  <si>
    <t xml:space="preserve">A DXY "peak" is a local maximum followed by a sustained decline of at least 5% over the next 6 months. The 2009 cycle is shown but excluded from the average. That year's EM return reflects the post-GFC equity trough, not a clean dollar effect. The ex-2009 average of 21.0% is the conservative base rate used in the memo.</t>
  </si>
  <si>
    <t xml:space="preserve">Cycle</t>
  </si>
  <si>
    <t xml:space="preserve">DXY Peak Date</t>
  </si>
  <si>
    <t xml:space="preserve">DXY Peak Level</t>
  </si>
  <si>
    <t xml:space="preserve">MSCI EM 12M Return</t>
  </si>
  <si>
    <t xml:space="preserve">MSCI EM 24M Return</t>
  </si>
  <si>
    <t xml:space="preserve">Notes</t>
  </si>
  <si>
    <t xml:space="preserve">Feb 2002</t>
  </si>
  <si>
    <t xml:space="preserve">Post dot-com peak. USD supercycle ended as US current account deficit widened to 5% of GDP.</t>
  </si>
  <si>
    <t xml:space="preserve">Mar 2009</t>
  </si>
  <si>
    <t xml:space="preserve">EXCLUDE from average. Crisis-driven safe-haven peak. EM recovery reflects post-GFC trough in equities, not a clean currency effect.</t>
  </si>
  <si>
    <t xml:space="preserve">Jan 2015</t>
  </si>
  <si>
    <t xml:space="preserve">Taper tantrum overhang. Muted EM response partly because China was simultaneously devaluing the renminbi.</t>
  </si>
  <si>
    <t xml:space="preserve">Mar 2020</t>
  </si>
  <si>
    <t xml:space="preserve">COVID safe-haven peak. EM recovered strongly on vaccine trade and China reopening.</t>
  </si>
  <si>
    <t xml:space="preserve">Sep 2022</t>
  </si>
  <si>
    <t xml:space="preserve">Rate hike supercycle peak. EM partly constrained by China property crisis running in parallel.</t>
  </si>
  <si>
    <t xml:space="preserve">2025 (current)</t>
  </si>
  <si>
    <t xml:space="preserve">Jan 2025</t>
  </si>
  <si>
    <t xml:space="preserve">Pending</t>
  </si>
  <si>
    <t xml:space="preserve">Current cycle. DXY down 5.6% from peak as of March 2026. Thesis is that this becomes a multi-year USD bear cycle.</t>
  </si>
  <si>
    <t xml:space="preserve">SUMMARY STATISTICS</t>
  </si>
  <si>
    <t xml:space="preserve">Average 12M return -- all 5 historical cycles</t>
  </si>
  <si>
    <t xml:space="preserve">Source: Bloomberg, MSCI. 2009 cycle included here.</t>
  </si>
  <si>
    <t xml:space="preserve">Average 12M return -- excluding 2009 (base rate)</t>
  </si>
  <si>
    <t xml:space="preserve">Conservative base rate used in the memo. Excludes 2009 crisis recovery effect.</t>
  </si>
  <si>
    <t xml:space="preserve">Median 12M return -- all 5 historical cycles</t>
  </si>
  <si>
    <t xml:space="preserve">Median is less affected by the 2009 outlier than the average.</t>
  </si>
  <si>
    <t xml:space="preserve">Minimum 12M return (historical range floor)</t>
  </si>
  <si>
    <t xml:space="preserve">2015 cycle: DXY peaked at 100.4, China simultaneous devaluation muted EM response.</t>
  </si>
  <si>
    <t xml:space="preserve">Maximum 12M return (historical range ceiling)</t>
  </si>
  <si>
    <t xml:space="preserve">2009 cycle: post-GFC recovery, not a representative template.</t>
  </si>
  <si>
    <t xml:space="preserve">Chart 3 -- US Real Yield vs J.P. Morgan EM Currency Index (2020-2026)</t>
  </si>
  <si>
    <t xml:space="preserve">US TIPS 10-year yield from Federal Reserve H.15 Selected Interest Rates, quarterly average. J.P. Morgan EM Currency Index (EMCI) rebased to 100 at January 2020. The 1.8% threshold marks the level below which US real yields have historically been consistent with a weakening dollar and EM FX outperformance, based on 1999-2025 Federal Reserve tightening and easing cycles. The index is currently at ~2.0% and falling.</t>
  </si>
  <si>
    <t xml:space="preserve">Quarter</t>
  </si>
  <si>
    <t xml:space="preserve">US TIPS 10yr Yield</t>
  </si>
  <si>
    <t xml:space="preserve">EMCI (Jan 2020 = 100)</t>
  </si>
  <si>
    <t xml:space="preserve">QoQ EMCI Change</t>
  </si>
  <si>
    <t xml:space="preserve">2020 Q1</t>
  </si>
  <si>
    <t xml:space="preserve">n/a</t>
  </si>
  <si>
    <t xml:space="preserve">2020 Q2</t>
  </si>
  <si>
    <t xml:space="preserve">2020 Q3</t>
  </si>
  <si>
    <t xml:space="preserve">2020 Q4</t>
  </si>
  <si>
    <t xml:space="preserve">2021 Q1</t>
  </si>
  <si>
    <t xml:space="preserve">2021 Q2</t>
  </si>
  <si>
    <t xml:space="preserve">2021 Q3</t>
  </si>
  <si>
    <t xml:space="preserve">2021 Q4</t>
  </si>
  <si>
    <t xml:space="preserve">2022 Q1</t>
  </si>
  <si>
    <t xml:space="preserve">2022 Q2</t>
  </si>
  <si>
    <t xml:space="preserve">2022 Q3</t>
  </si>
  <si>
    <t xml:space="preserve">2022 Q4</t>
  </si>
  <si>
    <t xml:space="preserve">2023 Q1</t>
  </si>
  <si>
    <t xml:space="preserve">2023 Q2</t>
  </si>
  <si>
    <t xml:space="preserve">2023 Q3</t>
  </si>
  <si>
    <t xml:space="preserve">2023 Q4</t>
  </si>
  <si>
    <t xml:space="preserve">2024 Q1</t>
  </si>
  <si>
    <t xml:space="preserve">2024 Q2</t>
  </si>
  <si>
    <t xml:space="preserve">2024 Q3</t>
  </si>
  <si>
    <t xml:space="preserve">2024 Q4</t>
  </si>
  <si>
    <t xml:space="preserve">2025 Q1</t>
  </si>
  <si>
    <t xml:space="preserve">2025 Q2</t>
  </si>
  <si>
    <t xml:space="preserve">2025 Q3</t>
  </si>
  <si>
    <t xml:space="preserve">2025 Q4</t>
  </si>
  <si>
    <t xml:space="preserve">2026 Q1</t>
  </si>
  <si>
    <t xml:space="preserve">KEY ASSUMPTION</t>
  </si>
  <si>
    <t xml:space="preserve">EM outperformance threshold -- TIPS yield (%)</t>
  </si>
  <si>
    <t xml:space="preserve">Change this to update the threshold line in Chart 3</t>
  </si>
  <si>
    <t xml:space="preserve">Sources: Federal Reserve H.15 Selected Interest Rates (TIPS 10yr, quarterly average). J.P. Morgan EM Currency Index via Bloomberg. Rebased January 2020 = 100.</t>
  </si>
  <si>
    <t xml:space="preserve">6. Scenario Model -- 3-Year Total Return (Bear / Base / Bull)</t>
  </si>
  <si>
    <t xml:space="preserve">Entry-point inputs from FactSet consensus, February 2026. The three scenarios vary two assumptions: terminal fwd P/E (the re-rating assumption) and the EPS compound annual growth rate. Dividend yield is set at 3.0% trailing and assumed reinvested annually (not compounded quarterly -- see footer). Returns are total 3-year returns, not annualised. Change yellow cells to run your own scenarios.</t>
  </si>
  <si>
    <t xml:space="preserve">MODEL INPUTS  (yellow = change these)</t>
  </si>
  <si>
    <t xml:space="preserve">Current MSCI EM fwd P/E (entry)</t>
  </si>
  <si>
    <t xml:space="preserve">FactSet consensus fwd P/E, February 2026. Source: FactSet Consensus Estimates Screen.</t>
  </si>
  <si>
    <t xml:space="preserve">Current MSCI EM index level (base)</t>
  </si>
  <si>
    <t xml:space="preserve">Normalised to 1000 for easy percentage calculation. Represents entry-point index value.</t>
  </si>
  <si>
    <t xml:space="preserve">Implied current EPS (level / P/E)</t>
  </si>
  <si>
    <t xml:space="preserve">Calculated: index level divided by fwd P/E. This is the base EPS for scenario projections.</t>
  </si>
  <si>
    <t xml:space="preserve">Annual dividend yield assumption</t>
  </si>
  <si>
    <t xml:space="preserve">MSCI EM trailing 12-month dividend yield. Source: MSCI, February 2026.</t>
  </si>
  <si>
    <t xml:space="preserve">Holding period (years)</t>
  </si>
  <si>
    <t xml:space="preserve">Model horizon. Change to 1 or 5 to see alternative horizons.</t>
  </si>
  <si>
    <t xml:space="preserve">SCENARIO ASSUMPTIONS  (yellow = change these)</t>
  </si>
  <si>
    <t xml:space="preserve">Assumption</t>
  </si>
  <si>
    <t xml:space="preserve">BEAR</t>
  </si>
  <si>
    <t xml:space="preserve">BASE</t>
  </si>
  <si>
    <t xml:space="preserve">BULL</t>
  </si>
  <si>
    <t xml:space="preserve">Terminal fwd P/E (3-year target)</t>
  </si>
  <si>
    <t xml:space="preserve">Bear: no re-rating (P/E stays at entry). Base: partial mean reversion (15.5x). Bull: full 20-year average reversion (~17.5x).</t>
  </si>
  <si>
    <t xml:space="preserve">EPS CAGR assumption (per year)</t>
  </si>
  <si>
    <t xml:space="preserve">Bear: below consensus. Base: in-line with FactSet consensus 2025-2027E. Bull: top-decile EM earnings scenario.</t>
  </si>
  <si>
    <t xml:space="preserve">MODEL OUTPUTS  (black = formula -- do not edit)</t>
  </si>
  <si>
    <t xml:space="preserve">Year 3 EPS  (current EPS * (1+CAGR)^n)</t>
  </si>
  <si>
    <t xml:space="preserve">Applies the EPS growth rate over the holding period to derive terminal earnings.</t>
  </si>
  <si>
    <t xml:space="preserve">Year 3 price target  (EPS * terminal P/E)</t>
  </si>
  <si>
    <t xml:space="preserve">Terminal value based on the re-rated P/E applied to projected Year 3 EPS.</t>
  </si>
  <si>
    <t xml:space="preserve">Capital return  (price appreciation only)</t>
  </si>
  <si>
    <t xml:space="preserve">Price appreciation from entry-point index level to the Year 3 target price.</t>
  </si>
  <si>
    <t xml:space="preserve">Cumulative dividend return  (yield * years)</t>
  </si>
  <si>
    <t xml:space="preserve">Simplified: annual dividend yield multiplied by years held. Not compounded quarterly.</t>
  </si>
  <si>
    <t xml:space="preserve">TOTAL 3-YEAR RETURN  (capital + dividends)</t>
  </si>
  <si>
    <t xml:space="preserve">Total return combining price appreciation and cumulative dividend income.</t>
  </si>
  <si>
    <t xml:space="preserve">Annualised return (CAGR equivalent)</t>
  </si>
  <si>
    <t xml:space="preserve">Annual compound equivalent of the total 3-year return.</t>
  </si>
  <si>
    <t xml:space="preserve">Implied terminal P/E expansion (x turns)</t>
  </si>
  <si>
    <t xml:space="preserve">Number of P/E multiple turns from entry to terminal: positive = re-rating, negative = de-rating.</t>
  </si>
  <si>
    <t xml:space="preserve">Methodology notes:
1. Dividend reinvestment is simplified (annual rate x years). Not compounded quarterly. True compounding would add ~0.3% to each scenario over 3 years.
2. Model is in USD terms. No currency hedging assumed. A USD investor in EEM bears full EM FX risk, which is additive to returns in a dollar bear cycle.
3. EPS estimates are FactSet consensus proxies (February 2026). They may be revised.
4. This model is a directional framework, not a precise valuation.</t>
  </si>
</sst>
</file>

<file path=xl/styles.xml><?xml version="1.0" encoding="utf-8"?>
<styleSheet xmlns="http://schemas.openxmlformats.org/spreadsheetml/2006/main">
  <numFmts count="12">
    <numFmt numFmtId="164" formatCode="General"/>
    <numFmt numFmtId="165" formatCode="0.0%"/>
    <numFmt numFmtId="166" formatCode="0"/>
    <numFmt numFmtId="167" formatCode="0.000"/>
    <numFmt numFmtId="168" formatCode="0.00\x"/>
    <numFmt numFmtId="169" formatCode="0.0000"/>
    <numFmt numFmtId="170" formatCode="0.0"/>
    <numFmt numFmtId="171" formatCode="0.00%"/>
    <numFmt numFmtId="172" formatCode="0.0\x"/>
    <numFmt numFmtId="173" formatCode="#,##0"/>
    <numFmt numFmtId="174" formatCode="#,##0.0"/>
    <numFmt numFmtId="175" formatCode="\+0.0\x;\-0.0\x;\-"/>
  </numFmts>
  <fonts count="24">
    <font>
      <sz val="11"/>
      <color theme="1"/>
      <name val="Calibri"/>
      <family val="2"/>
      <charset val="1"/>
    </font>
    <font>
      <sz val="10"/>
      <name val="Arial"/>
      <family val="0"/>
    </font>
    <font>
      <sz val="10"/>
      <name val="Arial"/>
      <family val="0"/>
    </font>
    <font>
      <sz val="10"/>
      <name val="Arial"/>
      <family val="0"/>
    </font>
    <font>
      <b val="true"/>
      <sz val="13"/>
      <color rgb="FF1A2744"/>
      <name val="Arial"/>
      <family val="0"/>
      <charset val="1"/>
    </font>
    <font>
      <sz val="9"/>
      <color rgb="FF666666"/>
      <name val="Arial"/>
      <family val="0"/>
      <charset val="1"/>
    </font>
    <font>
      <sz val="9"/>
      <color rgb="FF333333"/>
      <name val="Arial"/>
      <family val="0"/>
      <charset val="1"/>
    </font>
    <font>
      <b val="true"/>
      <sz val="9"/>
      <color rgb="FFFFFFFF"/>
      <name val="Arial"/>
      <family val="0"/>
      <charset val="1"/>
    </font>
    <font>
      <b val="true"/>
      <sz val="9"/>
      <color rgb="FF2D5FA6"/>
      <name val="Arial"/>
      <family val="0"/>
      <charset val="1"/>
    </font>
    <font>
      <sz val="9"/>
      <color rgb="FF555555"/>
      <name val="Arial"/>
      <family val="0"/>
      <charset val="1"/>
    </font>
    <font>
      <b val="true"/>
      <sz val="9"/>
      <color rgb="FF1A2744"/>
      <name val="Arial"/>
      <family val="0"/>
      <charset val="1"/>
    </font>
    <font>
      <i val="true"/>
      <sz val="8"/>
      <color rgb="FF777777"/>
      <name val="Arial"/>
      <family val="0"/>
      <charset val="1"/>
    </font>
    <font>
      <sz val="9"/>
      <color rgb="FFB5261E"/>
      <name val="Arial"/>
      <family val="0"/>
      <charset val="1"/>
    </font>
    <font>
      <b val="true"/>
      <sz val="12"/>
      <color rgb="FF1A2744"/>
      <name val="Arial"/>
      <family val="0"/>
      <charset val="1"/>
    </font>
    <font>
      <sz val="10"/>
      <color rgb="FF0000FF"/>
      <name val="Arial"/>
      <family val="0"/>
      <charset val="1"/>
    </font>
    <font>
      <sz val="10"/>
      <color rgb="FF000000"/>
      <name val="Arial"/>
      <family val="0"/>
      <charset val="1"/>
    </font>
    <font>
      <sz val="8"/>
      <color rgb="FF666666"/>
      <name val="Arial"/>
      <family val="0"/>
      <charset val="1"/>
    </font>
    <font>
      <i val="true"/>
      <sz val="9"/>
      <color rgb="FFB5261E"/>
      <name val="Arial"/>
      <family val="0"/>
      <charset val="1"/>
    </font>
    <font>
      <sz val="9"/>
      <color rgb="FFAAAAAA"/>
      <name val="Arial"/>
      <family val="0"/>
      <charset val="1"/>
    </font>
    <font>
      <b val="true"/>
      <sz val="10"/>
      <color rgb="FFFFFFFF"/>
      <name val="Arial"/>
      <family val="0"/>
      <charset val="1"/>
    </font>
    <font>
      <sz val="9"/>
      <color rgb="FF1A2744"/>
      <name val="Arial"/>
      <family val="0"/>
      <charset val="1"/>
    </font>
    <font>
      <b val="true"/>
      <sz val="10"/>
      <color rgb="FF1A2744"/>
      <name val="Arial"/>
      <family val="0"/>
      <charset val="1"/>
    </font>
    <font>
      <b val="true"/>
      <sz val="10"/>
      <color rgb="FF000000"/>
      <name val="Arial"/>
      <family val="0"/>
      <charset val="1"/>
    </font>
    <font>
      <i val="true"/>
      <sz val="8"/>
      <color rgb="FF555555"/>
      <name val="Arial"/>
      <family val="0"/>
      <charset val="1"/>
    </font>
  </fonts>
  <fills count="14">
    <fill>
      <patternFill patternType="none"/>
    </fill>
    <fill>
      <patternFill patternType="gray125"/>
    </fill>
    <fill>
      <patternFill patternType="solid">
        <fgColor rgb="FFDCE8F5"/>
        <bgColor rgb="FFE0EAF5"/>
      </patternFill>
    </fill>
    <fill>
      <patternFill patternType="solid">
        <fgColor rgb="FFF7F9FC"/>
        <bgColor rgb="FFFFFFFF"/>
      </patternFill>
    </fill>
    <fill>
      <patternFill patternType="solid">
        <fgColor rgb="FF1A2744"/>
        <bgColor rgb="FF333333"/>
      </patternFill>
    </fill>
    <fill>
      <patternFill patternType="solid">
        <fgColor rgb="FF2D5FA6"/>
        <bgColor rgb="FF3366FF"/>
      </patternFill>
    </fill>
    <fill>
      <patternFill patternType="solid">
        <fgColor rgb="FFFFFFFF"/>
        <bgColor rgb="FFF7F9FC"/>
      </patternFill>
    </fill>
    <fill>
      <patternFill patternType="solid">
        <fgColor rgb="FFEEF2F8"/>
        <bgColor rgb="FFEEEEEE"/>
      </patternFill>
    </fill>
    <fill>
      <patternFill patternType="solid">
        <fgColor rgb="FFFFFF00"/>
        <bgColor rgb="FFFFFF00"/>
      </patternFill>
    </fill>
    <fill>
      <patternFill patternType="solid">
        <fgColor rgb="FFFFF7E6"/>
        <bgColor rgb="FFFFF0F0"/>
      </patternFill>
    </fill>
    <fill>
      <patternFill patternType="solid">
        <fgColor rgb="FFFFF0F0"/>
        <bgColor rgb="FFFFF7E6"/>
      </patternFill>
    </fill>
    <fill>
      <patternFill patternType="solid">
        <fgColor rgb="FFB5261E"/>
        <bgColor rgb="FF993366"/>
      </patternFill>
    </fill>
    <fill>
      <patternFill patternType="solid">
        <fgColor rgb="FF1A7A4A"/>
        <bgColor rgb="FF008080"/>
      </patternFill>
    </fill>
    <fill>
      <patternFill patternType="solid">
        <fgColor rgb="FFE0EAF5"/>
        <bgColor rgb="FFDCE8F5"/>
      </patternFill>
    </fill>
  </fills>
  <borders count="7">
    <border diagonalUp="false" diagonalDown="false">
      <left/>
      <right/>
      <top/>
      <bottom/>
      <diagonal/>
    </border>
    <border diagonalUp="false" diagonalDown="false">
      <left/>
      <right/>
      <top/>
      <bottom style="medium">
        <color rgb="FF2D5FA6"/>
      </bottom>
      <diagonal/>
    </border>
    <border diagonalUp="false" diagonalDown="false">
      <left style="thin">
        <color rgb="FFDDDDDD"/>
      </left>
      <right/>
      <top style="thin">
        <color rgb="FFDDDDDD"/>
      </top>
      <bottom style="thin">
        <color rgb="FFDDDDDD"/>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EEEEEE"/>
      </left>
      <right style="thin">
        <color rgb="FFEEEEEE"/>
      </right>
      <top style="thin">
        <color rgb="FFEEEEEE"/>
      </top>
      <bottom style="thin">
        <color rgb="FFEEEEEE"/>
      </bottom>
      <diagonal/>
    </border>
    <border diagonalUp="false" diagonalDown="false">
      <left style="thin">
        <color rgb="FFEEEEEE"/>
      </left>
      <right/>
      <top style="thin">
        <color rgb="FFEEEEEE"/>
      </top>
      <bottom style="thin">
        <color rgb="FFEEEEEE"/>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6" fillId="6" borderId="3"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8" fillId="7" borderId="3" xfId="0" applyFont="true" applyBorder="true" applyAlignment="true" applyProtection="false">
      <alignment horizontal="left" vertical="center" textRotation="0" wrapText="true" indent="0" shrinkToFit="false"/>
      <protection locked="true" hidden="false"/>
    </xf>
    <xf numFmtId="164" fontId="6" fillId="7"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top" textRotation="0" wrapText="true" indent="0" shrinkToFit="false"/>
      <protection locked="true" hidden="false"/>
    </xf>
    <xf numFmtId="164" fontId="10" fillId="2" borderId="3" xfId="0" applyFont="true" applyBorder="true" applyAlignment="true" applyProtection="false">
      <alignment horizontal="left" vertical="center" textRotation="0" wrapText="true" indent="0" shrinkToFit="false"/>
      <protection locked="true" hidden="false"/>
    </xf>
    <xf numFmtId="164" fontId="6" fillId="6" borderId="3" xfId="0" applyFont="true" applyBorder="true" applyAlignment="true" applyProtection="false">
      <alignment horizontal="left" vertical="top" textRotation="0" wrapText="true" indent="0" shrinkToFit="false"/>
      <protection locked="true" hidden="false"/>
    </xf>
    <xf numFmtId="164" fontId="11" fillId="3" borderId="3" xfId="0" applyFont="true" applyBorder="true" applyAlignment="true" applyProtection="false">
      <alignment horizontal="left" vertical="top" textRotation="0" wrapText="true" indent="0" shrinkToFit="false"/>
      <protection locked="true" hidden="false"/>
    </xf>
    <xf numFmtId="164" fontId="10" fillId="6" borderId="3" xfId="0" applyFont="true" applyBorder="true" applyAlignment="true" applyProtection="false">
      <alignment horizontal="left" vertical="top" textRotation="0" wrapText="true" indent="0" shrinkToFit="false"/>
      <protection locked="true" hidden="false"/>
    </xf>
    <xf numFmtId="164" fontId="9" fillId="6" borderId="3" xfId="0" applyFont="true" applyBorder="true" applyAlignment="true" applyProtection="false">
      <alignment horizontal="left" vertical="top" textRotation="0" wrapText="true" indent="0" shrinkToFit="false"/>
      <protection locked="true" hidden="false"/>
    </xf>
    <xf numFmtId="164" fontId="10" fillId="7" borderId="3" xfId="0" applyFont="true" applyBorder="true" applyAlignment="true" applyProtection="false">
      <alignment horizontal="left" vertical="top" textRotation="0" wrapText="true" indent="0" shrinkToFit="false"/>
      <protection locked="true" hidden="false"/>
    </xf>
    <xf numFmtId="164" fontId="6" fillId="7" borderId="3" xfId="0" applyFont="true" applyBorder="true" applyAlignment="true" applyProtection="false">
      <alignment horizontal="left" vertical="top" textRotation="0" wrapText="true" indent="0" shrinkToFit="false"/>
      <protection locked="true" hidden="false"/>
    </xf>
    <xf numFmtId="164" fontId="9" fillId="7" borderId="3" xfId="0" applyFont="true" applyBorder="true" applyAlignment="true" applyProtection="false">
      <alignment horizontal="left" vertical="top" textRotation="0" wrapText="true" indent="0" shrinkToFit="false"/>
      <protection locked="true" hidden="false"/>
    </xf>
    <xf numFmtId="164" fontId="12" fillId="6" borderId="3" xfId="0" applyFont="true" applyBorder="true" applyAlignment="true" applyProtection="false">
      <alignment horizontal="left" vertical="top" textRotation="0" wrapText="true" indent="0" shrinkToFit="false"/>
      <protection locked="true" hidden="false"/>
    </xf>
    <xf numFmtId="164" fontId="12" fillId="7" borderId="3" xfId="0" applyFont="true" applyBorder="true" applyAlignment="true" applyProtection="false">
      <alignment horizontal="left" vertical="top"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true" indent="0" shrinkToFit="false"/>
      <protection locked="true" hidden="false"/>
    </xf>
    <xf numFmtId="165" fontId="14" fillId="6" borderId="3" xfId="0" applyFont="true" applyBorder="true" applyAlignment="true" applyProtection="false">
      <alignment horizontal="right" vertical="center" textRotation="0" wrapText="false" indent="0" shrinkToFit="false"/>
      <protection locked="true" hidden="false"/>
    </xf>
    <xf numFmtId="164" fontId="10" fillId="7" borderId="3" xfId="0" applyFont="true" applyBorder="true" applyAlignment="true" applyProtection="false">
      <alignment horizontal="left" vertical="center" textRotation="0" wrapText="true" indent="0" shrinkToFit="false"/>
      <protection locked="true" hidden="false"/>
    </xf>
    <xf numFmtId="166" fontId="15" fillId="7" borderId="3" xfId="0" applyFont="true" applyBorder="true" applyAlignment="true" applyProtection="false">
      <alignment horizontal="right" vertical="center" textRotation="0" wrapText="false" indent="0" shrinkToFit="false"/>
      <protection locked="true" hidden="false"/>
    </xf>
    <xf numFmtId="164" fontId="16" fillId="0" borderId="4" xfId="0" applyFont="true" applyBorder="true" applyAlignment="true" applyProtection="false">
      <alignment horizontal="left" vertical="center" textRotation="0" wrapText="true" indent="0" shrinkToFit="false"/>
      <protection locked="true" hidden="false"/>
    </xf>
    <xf numFmtId="164" fontId="14" fillId="7" borderId="3" xfId="0" applyFont="true" applyBorder="true" applyAlignment="true" applyProtection="false">
      <alignment horizontal="center" vertical="center" textRotation="0" wrapText="true" indent="0" shrinkToFit="false"/>
      <protection locked="true" hidden="false"/>
    </xf>
    <xf numFmtId="165" fontId="14" fillId="7" borderId="3" xfId="0" applyFont="true" applyBorder="true" applyAlignment="true" applyProtection="false">
      <alignment horizontal="right" vertical="center" textRotation="0" wrapText="false" indent="0" shrinkToFit="false"/>
      <protection locked="true" hidden="false"/>
    </xf>
    <xf numFmtId="164" fontId="10" fillId="6" borderId="3" xfId="0" applyFont="true" applyBorder="true" applyAlignment="true" applyProtection="false">
      <alignment horizontal="left" vertical="center" textRotation="0" wrapText="true" indent="0" shrinkToFit="false"/>
      <protection locked="true" hidden="false"/>
    </xf>
    <xf numFmtId="167" fontId="15" fillId="6" borderId="3" xfId="0" applyFont="true" applyBorder="true" applyAlignment="true" applyProtection="false">
      <alignment horizontal="right" vertical="center" textRotation="0" wrapText="false" indent="0" shrinkToFit="false"/>
      <protection locked="true" hidden="false"/>
    </xf>
    <xf numFmtId="167" fontId="15" fillId="7" borderId="3" xfId="0" applyFont="true" applyBorder="true" applyAlignment="true" applyProtection="false">
      <alignment horizontal="right" vertical="center" textRotation="0" wrapText="false" indent="0" shrinkToFit="false"/>
      <protection locked="true" hidden="false"/>
    </xf>
    <xf numFmtId="168" fontId="15" fillId="6" borderId="3" xfId="0" applyFont="true" applyBorder="true" applyAlignment="true" applyProtection="false">
      <alignment horizontal="right" vertical="center" textRotation="0" wrapText="false" indent="0" shrinkToFit="false"/>
      <protection locked="true" hidden="false"/>
    </xf>
    <xf numFmtId="165" fontId="15" fillId="7" borderId="3" xfId="0" applyFont="true" applyBorder="true" applyAlignment="true" applyProtection="false">
      <alignment horizontal="right" vertical="center" textRotation="0" wrapText="false" indent="0" shrinkToFit="false"/>
      <protection locked="true" hidden="false"/>
    </xf>
    <xf numFmtId="169" fontId="15" fillId="6" borderId="3" xfId="0" applyFont="true" applyBorder="true" applyAlignment="true" applyProtection="false">
      <alignment horizontal="right" vertical="center" textRotation="0" wrapText="false" indent="0" shrinkToFit="false"/>
      <protection locked="true" hidden="false"/>
    </xf>
    <xf numFmtId="164" fontId="10" fillId="8" borderId="3" xfId="0" applyFont="true" applyBorder="true" applyAlignment="true" applyProtection="false">
      <alignment horizontal="left" vertical="center" textRotation="0" wrapText="true" indent="0" shrinkToFit="false"/>
      <protection locked="true" hidden="false"/>
    </xf>
    <xf numFmtId="165" fontId="14" fillId="8" borderId="3" xfId="0" applyFont="true" applyBorder="true" applyAlignment="true" applyProtection="false">
      <alignment horizontal="right" vertical="center" textRotation="0" wrapText="false" indent="0" shrinkToFit="false"/>
      <protection locked="true" hidden="false"/>
    </xf>
    <xf numFmtId="165" fontId="15" fillId="6" borderId="3" xfId="0" applyFont="true" applyBorder="true" applyAlignment="true" applyProtection="false">
      <alignment horizontal="right" vertical="center" textRotation="0" wrapText="false" indent="0" shrinkToFit="false"/>
      <protection locked="true" hidden="false"/>
    </xf>
    <xf numFmtId="164" fontId="11" fillId="3" borderId="5" xfId="0" applyFont="true" applyBorder="true" applyAlignment="true" applyProtection="false">
      <alignment horizontal="left" vertical="center" textRotation="0" wrapText="true" indent="0" shrinkToFit="false"/>
      <protection locked="true" hidden="false"/>
    </xf>
    <xf numFmtId="164" fontId="14" fillId="9" borderId="3" xfId="0" applyFont="true" applyBorder="true" applyAlignment="true" applyProtection="false">
      <alignment horizontal="center" vertical="center" textRotation="0" wrapText="true" indent="0" shrinkToFit="false"/>
      <protection locked="true" hidden="false"/>
    </xf>
    <xf numFmtId="165" fontId="14" fillId="9" borderId="3" xfId="0" applyFont="true" applyBorder="true" applyAlignment="true" applyProtection="false">
      <alignment horizontal="right" vertical="center" textRotation="0" wrapText="false" indent="0" shrinkToFit="false"/>
      <protection locked="true" hidden="false"/>
    </xf>
    <xf numFmtId="170" fontId="14" fillId="6" borderId="3" xfId="0" applyFont="true" applyBorder="true" applyAlignment="true" applyProtection="false">
      <alignment horizontal="right" vertical="center" textRotation="0" wrapText="false" indent="0" shrinkToFit="false"/>
      <protection locked="true" hidden="false"/>
    </xf>
    <xf numFmtId="164" fontId="10" fillId="10" borderId="3" xfId="0" applyFont="true" applyBorder="true" applyAlignment="true" applyProtection="false">
      <alignment horizontal="left" vertical="center" textRotation="0" wrapText="true" indent="0" shrinkToFit="false"/>
      <protection locked="true" hidden="false"/>
    </xf>
    <xf numFmtId="164" fontId="14" fillId="10" borderId="3" xfId="0" applyFont="true" applyBorder="true" applyAlignment="true" applyProtection="false">
      <alignment horizontal="center" vertical="center" textRotation="0" wrapText="true" indent="0" shrinkToFit="false"/>
      <protection locked="true" hidden="false"/>
    </xf>
    <xf numFmtId="170" fontId="14" fillId="10" borderId="3" xfId="0" applyFont="true" applyBorder="true" applyAlignment="true" applyProtection="false">
      <alignment horizontal="right" vertical="center" textRotation="0" wrapText="false" indent="0" shrinkToFit="false"/>
      <protection locked="true" hidden="false"/>
    </xf>
    <xf numFmtId="165" fontId="14" fillId="10" borderId="3" xfId="0" applyFont="true" applyBorder="true" applyAlignment="true" applyProtection="false">
      <alignment horizontal="right" vertical="center" textRotation="0" wrapText="false" indent="0" shrinkToFit="false"/>
      <protection locked="true" hidden="false"/>
    </xf>
    <xf numFmtId="164" fontId="6" fillId="10" borderId="3" xfId="0" applyFont="true" applyBorder="true" applyAlignment="true" applyProtection="false">
      <alignment horizontal="left" vertical="top" textRotation="0" wrapText="true" indent="0" shrinkToFit="false"/>
      <protection locked="true" hidden="false"/>
    </xf>
    <xf numFmtId="170" fontId="14" fillId="7" borderId="3" xfId="0" applyFont="true" applyBorder="true" applyAlignment="true" applyProtection="false">
      <alignment horizontal="right" vertical="center" textRotation="0" wrapText="false" indent="0" shrinkToFit="false"/>
      <protection locked="true" hidden="false"/>
    </xf>
    <xf numFmtId="164" fontId="10" fillId="9" borderId="3" xfId="0" applyFont="true" applyBorder="true" applyAlignment="true" applyProtection="false">
      <alignment horizontal="left" vertical="center" textRotation="0" wrapText="true" indent="0" shrinkToFit="false"/>
      <protection locked="true" hidden="false"/>
    </xf>
    <xf numFmtId="170" fontId="14" fillId="9" borderId="3" xfId="0" applyFont="true" applyBorder="true" applyAlignment="true" applyProtection="false">
      <alignment horizontal="right" vertical="center" textRotation="0" wrapText="false" indent="0" shrinkToFit="false"/>
      <protection locked="true" hidden="false"/>
    </xf>
    <xf numFmtId="164" fontId="17" fillId="9" borderId="3" xfId="0" applyFont="true" applyBorder="true" applyAlignment="true" applyProtection="false">
      <alignment horizontal="center" vertical="center" textRotation="0" wrapText="true" indent="0" shrinkToFit="false"/>
      <protection locked="true" hidden="false"/>
    </xf>
    <xf numFmtId="164" fontId="6" fillId="9" borderId="3" xfId="0" applyFont="true" applyBorder="true" applyAlignment="true" applyProtection="false">
      <alignment horizontal="left" vertical="top" textRotation="0" wrapText="true" indent="0" shrinkToFit="false"/>
      <protection locked="true" hidden="false"/>
    </xf>
    <xf numFmtId="165" fontId="15" fillId="2" borderId="6" xfId="0" applyFont="true" applyBorder="true" applyAlignment="true" applyProtection="false">
      <alignment horizontal="right" vertical="center" textRotation="0" wrapText="false" indent="0" shrinkToFit="false"/>
      <protection locked="true" hidden="false"/>
    </xf>
    <xf numFmtId="164" fontId="11" fillId="0" borderId="5" xfId="0" applyFont="true" applyBorder="true" applyAlignment="true" applyProtection="false">
      <alignment horizontal="left" vertical="center" textRotation="0" wrapText="true" indent="0" shrinkToFit="false"/>
      <protection locked="true" hidden="false"/>
    </xf>
    <xf numFmtId="171" fontId="14" fillId="6" borderId="3" xfId="0" applyFont="true" applyBorder="true" applyAlignment="true" applyProtection="false">
      <alignment horizontal="right" vertical="center" textRotation="0" wrapText="false" indent="0" shrinkToFit="false"/>
      <protection locked="true" hidden="false"/>
    </xf>
    <xf numFmtId="164" fontId="18" fillId="6" borderId="3" xfId="0" applyFont="true" applyBorder="true" applyAlignment="true" applyProtection="false">
      <alignment horizontal="center" vertical="center" textRotation="0" wrapText="true" indent="0" shrinkToFit="false"/>
      <protection locked="true" hidden="false"/>
    </xf>
    <xf numFmtId="171" fontId="14" fillId="7" borderId="3" xfId="0" applyFont="true" applyBorder="true" applyAlignment="true" applyProtection="false">
      <alignment horizontal="right" vertical="center" textRotation="0" wrapText="false" indent="0" shrinkToFit="false"/>
      <protection locked="true" hidden="false"/>
    </xf>
    <xf numFmtId="165" fontId="14" fillId="8" borderId="6"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72" fontId="14" fillId="8" borderId="3" xfId="0" applyFont="true" applyBorder="true" applyAlignment="true" applyProtection="false">
      <alignment horizontal="right" vertical="center" textRotation="0" wrapText="false" indent="0" shrinkToFit="false"/>
      <protection locked="true" hidden="false"/>
    </xf>
    <xf numFmtId="173" fontId="14" fillId="8" borderId="3" xfId="0" applyFont="true" applyBorder="true" applyAlignment="true" applyProtection="false">
      <alignment horizontal="right" vertical="center" textRotation="0" wrapText="false" indent="0" shrinkToFit="false"/>
      <protection locked="true" hidden="false"/>
    </xf>
    <xf numFmtId="174" fontId="15" fillId="2" borderId="3" xfId="0" applyFont="true" applyBorder="true" applyAlignment="true" applyProtection="false">
      <alignment horizontal="right" vertical="center" textRotation="0" wrapText="false" indent="0" shrinkToFit="false"/>
      <protection locked="true" hidden="false"/>
    </xf>
    <xf numFmtId="166" fontId="14" fillId="8" borderId="3" xfId="0" applyFont="true" applyBorder="true" applyAlignment="true" applyProtection="false">
      <alignment horizontal="right" vertical="center" textRotation="0" wrapText="fals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19" fillId="11" borderId="3" xfId="0" applyFont="true" applyBorder="true" applyAlignment="true" applyProtection="false">
      <alignment horizontal="center" vertical="center" textRotation="0" wrapText="true" indent="0" shrinkToFit="false"/>
      <protection locked="true" hidden="false"/>
    </xf>
    <xf numFmtId="164" fontId="19" fillId="5" borderId="3" xfId="0" applyFont="true" applyBorder="true" applyAlignment="true" applyProtection="false">
      <alignment horizontal="center" vertical="center" textRotation="0" wrapText="true" indent="0" shrinkToFit="false"/>
      <protection locked="true" hidden="false"/>
    </xf>
    <xf numFmtId="164" fontId="19" fillId="12" borderId="3"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true" applyProtection="false">
      <alignment horizontal="left"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20" fillId="6" borderId="3" xfId="0" applyFont="true" applyBorder="true" applyAlignment="true" applyProtection="false">
      <alignment horizontal="left" vertical="center" textRotation="0" wrapText="true" indent="0" shrinkToFit="false"/>
      <protection locked="true" hidden="false"/>
    </xf>
    <xf numFmtId="174" fontId="15" fillId="6" borderId="3" xfId="0" applyFont="true" applyBorder="true" applyAlignment="true" applyProtection="false">
      <alignment horizontal="right" vertical="center" textRotation="0" wrapText="false" indent="0" shrinkToFit="false"/>
      <protection locked="true" hidden="false"/>
    </xf>
    <xf numFmtId="164" fontId="11" fillId="0" borderId="4" xfId="0" applyFont="true" applyBorder="true" applyAlignment="true" applyProtection="false">
      <alignment horizontal="left" vertical="center" textRotation="0" wrapText="true" indent="0" shrinkToFit="false"/>
      <protection locked="true" hidden="false"/>
    </xf>
    <xf numFmtId="164" fontId="20" fillId="7" borderId="3" xfId="0" applyFont="true" applyBorder="true" applyAlignment="true" applyProtection="false">
      <alignment horizontal="left" vertical="center" textRotation="0" wrapText="true" indent="0" shrinkToFit="false"/>
      <protection locked="true" hidden="false"/>
    </xf>
    <xf numFmtId="174" fontId="15" fillId="7" borderId="3" xfId="0" applyFont="true" applyBorder="true" applyAlignment="true" applyProtection="false">
      <alignment horizontal="right" vertical="center" textRotation="0" wrapText="false" indent="0" shrinkToFit="false"/>
      <protection locked="true" hidden="false"/>
    </xf>
    <xf numFmtId="164" fontId="21" fillId="13" borderId="3" xfId="0" applyFont="true" applyBorder="true" applyAlignment="true" applyProtection="false">
      <alignment horizontal="left" vertical="center" textRotation="0" wrapText="true" indent="0" shrinkToFit="false"/>
      <protection locked="true" hidden="false"/>
    </xf>
    <xf numFmtId="165" fontId="22" fillId="13" borderId="3" xfId="0" applyFont="true" applyBorder="true" applyAlignment="true" applyProtection="false">
      <alignment horizontal="right" vertical="center" textRotation="0" wrapText="false" indent="0" shrinkToFit="false"/>
      <protection locked="true" hidden="false"/>
    </xf>
    <xf numFmtId="175" fontId="15" fillId="6" borderId="3" xfId="0" applyFont="true" applyBorder="true" applyAlignment="true" applyProtection="false">
      <alignment horizontal="right" vertical="center" textRotation="0" wrapText="false" indent="0" shrinkToFit="false"/>
      <protection locked="true" hidden="false"/>
    </xf>
    <xf numFmtId="164" fontId="23" fillId="3"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A4A"/>
      <rgbColor rgb="FFCCCCCC"/>
      <rgbColor rgb="FF777777"/>
      <rgbColor rgb="FF9999FF"/>
      <rgbColor rgb="FF993366"/>
      <rgbColor rgb="FFFFF7E6"/>
      <rgbColor rgb="FFE0EAF5"/>
      <rgbColor rgb="FF660066"/>
      <rgbColor rgb="FFFF8080"/>
      <rgbColor rgb="FF2D5FA6"/>
      <rgbColor rgb="FFDDDDDD"/>
      <rgbColor rgb="FF000080"/>
      <rgbColor rgb="FFFF00FF"/>
      <rgbColor rgb="FFFFFF00"/>
      <rgbColor rgb="FF00FFFF"/>
      <rgbColor rgb="FF800080"/>
      <rgbColor rgb="FF800000"/>
      <rgbColor rgb="FF008080"/>
      <rgbColor rgb="FF0000FF"/>
      <rgbColor rgb="FF00CCFF"/>
      <rgbColor rgb="FFDCE8F5"/>
      <rgbColor rgb="FFEEEEEE"/>
      <rgbColor rgb="FFFFF0F0"/>
      <rgbColor rgb="FFF7F9FC"/>
      <rgbColor rgb="FFFF99CC"/>
      <rgbColor rgb="FFCC99FF"/>
      <rgbColor rgb="FFEEF2F8"/>
      <rgbColor rgb="FF3366FF"/>
      <rgbColor rgb="FF33CCCC"/>
      <rgbColor rgb="FF99CC00"/>
      <rgbColor rgb="FFFFCC00"/>
      <rgbColor rgb="FFFF9900"/>
      <rgbColor rgb="FFFF6600"/>
      <rgbColor rgb="FF666666"/>
      <rgbColor rgb="FFAAAAAA"/>
      <rgbColor rgb="FF1A2744"/>
      <rgbColor rgb="FF339966"/>
      <rgbColor rgb="FF003300"/>
      <rgbColor rgb="FF333300"/>
      <rgbColor rgb="FFB5261E"/>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75"/>
    <col collapsed="false" customWidth="true" hidden="false" outlineLevel="0" max="3" min="3" style="0" width="32"/>
  </cols>
  <sheetData>
    <row r="1" customFormat="false" ht="27.75" hidden="false" customHeight="true" outlineLevel="0" collapsed="false">
      <c r="A1" s="1" t="s">
        <v>0</v>
      </c>
      <c r="B1" s="1"/>
      <c r="C1" s="1"/>
    </row>
    <row r="2" customFormat="false" ht="15.75" hidden="false" customHeight="true" outlineLevel="0" collapsed="false">
      <c r="A2" s="2" t="s">
        <v>1</v>
      </c>
      <c r="B2" s="2"/>
      <c r="C2" s="2"/>
    </row>
    <row r="3" customFormat="false" ht="90" hidden="false" customHeight="true" outlineLevel="0" collapsed="false">
      <c r="A3" s="3" t="s">
        <v>2</v>
      </c>
      <c r="B3" s="3"/>
      <c r="C3" s="3"/>
    </row>
    <row r="5" customFormat="false" ht="18" hidden="false" customHeight="true" outlineLevel="0" collapsed="false">
      <c r="A5" s="4" t="s">
        <v>3</v>
      </c>
      <c r="B5" s="4"/>
      <c r="C5" s="4"/>
    </row>
    <row r="6" customFormat="false" ht="18" hidden="false" customHeight="true" outlineLevel="0" collapsed="false">
      <c r="A6" s="5" t="s">
        <v>4</v>
      </c>
      <c r="B6" s="5" t="s">
        <v>5</v>
      </c>
      <c r="C6" s="5" t="s">
        <v>6</v>
      </c>
    </row>
    <row r="7" customFormat="false" ht="21.75" hidden="false" customHeight="true" outlineLevel="0" collapsed="false">
      <c r="A7" s="6" t="s">
        <v>7</v>
      </c>
      <c r="B7" s="7" t="s">
        <v>8</v>
      </c>
      <c r="C7" s="8" t="s">
        <v>9</v>
      </c>
    </row>
    <row r="8" customFormat="false" ht="21.75" hidden="false" customHeight="true" outlineLevel="0" collapsed="false">
      <c r="A8" s="9" t="s">
        <v>10</v>
      </c>
      <c r="B8" s="10" t="s">
        <v>11</v>
      </c>
      <c r="C8" s="11" t="s">
        <v>12</v>
      </c>
    </row>
    <row r="9" customFormat="false" ht="21.75" hidden="false" customHeight="true" outlineLevel="0" collapsed="false">
      <c r="A9" s="6" t="s">
        <v>13</v>
      </c>
      <c r="B9" s="7" t="s">
        <v>14</v>
      </c>
      <c r="C9" s="8" t="s">
        <v>15</v>
      </c>
    </row>
    <row r="10" customFormat="false" ht="21.75" hidden="false" customHeight="true" outlineLevel="0" collapsed="false">
      <c r="A10" s="9" t="s">
        <v>16</v>
      </c>
      <c r="B10" s="10" t="s">
        <v>17</v>
      </c>
      <c r="C10" s="11" t="s">
        <v>18</v>
      </c>
    </row>
    <row r="11" customFormat="false" ht="21.75" hidden="false" customHeight="true" outlineLevel="0" collapsed="false">
      <c r="A11" s="6" t="s">
        <v>19</v>
      </c>
      <c r="B11" s="7" t="s">
        <v>20</v>
      </c>
      <c r="C11" s="8" t="s">
        <v>21</v>
      </c>
    </row>
    <row r="13" customFormat="false" ht="18" hidden="false" customHeight="true" outlineLevel="0" collapsed="false">
      <c r="A13" s="4" t="s">
        <v>22</v>
      </c>
      <c r="B13" s="4"/>
      <c r="C13" s="4"/>
    </row>
    <row r="14" customFormat="false" ht="99.75" hidden="false" customHeight="true" outlineLevel="0" collapsed="false">
      <c r="A14" s="3" t="s">
        <v>23</v>
      </c>
      <c r="B14" s="3"/>
      <c r="C14" s="3"/>
    </row>
  </sheetData>
  <mergeCells count="6">
    <mergeCell ref="A1:C1"/>
    <mergeCell ref="A2:C2"/>
    <mergeCell ref="A3:C3"/>
    <mergeCell ref="A5:C5"/>
    <mergeCell ref="A13:C13"/>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82"/>
    <col collapsed="false" customWidth="true" hidden="false" outlineLevel="0" max="3" min="3" style="0" width="38"/>
  </cols>
  <sheetData>
    <row r="1" customFormat="false" ht="27.75" hidden="false" customHeight="true" outlineLevel="0" collapsed="false">
      <c r="A1" s="1" t="s">
        <v>24</v>
      </c>
      <c r="B1" s="1"/>
      <c r="C1" s="1"/>
    </row>
    <row r="2" customFormat="false" ht="72" hidden="false" customHeight="true" outlineLevel="0" collapsed="false">
      <c r="A2" s="12" t="s">
        <v>25</v>
      </c>
      <c r="B2" s="12"/>
      <c r="C2" s="12"/>
    </row>
    <row r="4" customFormat="false" ht="19.5" hidden="false" customHeight="true" outlineLevel="0" collapsed="false">
      <c r="A4" s="4" t="s">
        <v>26</v>
      </c>
      <c r="B4" s="4"/>
      <c r="C4" s="4"/>
    </row>
    <row r="5" customFormat="false" ht="75" hidden="false" customHeight="true" outlineLevel="0" collapsed="false">
      <c r="A5" s="13" t="s">
        <v>27</v>
      </c>
      <c r="B5" s="14" t="s">
        <v>28</v>
      </c>
      <c r="C5" s="15" t="s">
        <v>29</v>
      </c>
    </row>
    <row r="6" customFormat="false" ht="114" hidden="false" customHeight="true" outlineLevel="0" collapsed="false">
      <c r="A6" s="13" t="s">
        <v>30</v>
      </c>
      <c r="B6" s="14" t="s">
        <v>31</v>
      </c>
      <c r="C6" s="15" t="s">
        <v>32</v>
      </c>
    </row>
    <row r="7" customFormat="false" ht="87.75" hidden="false" customHeight="true" outlineLevel="0" collapsed="false">
      <c r="A7" s="13" t="s">
        <v>33</v>
      </c>
      <c r="B7" s="14" t="s">
        <v>34</v>
      </c>
      <c r="C7" s="15" t="s">
        <v>35</v>
      </c>
    </row>
    <row r="8" customFormat="false" ht="87.75" hidden="false" customHeight="true" outlineLevel="0" collapsed="false">
      <c r="A8" s="13" t="s">
        <v>36</v>
      </c>
      <c r="B8" s="14" t="s">
        <v>37</v>
      </c>
      <c r="C8" s="15" t="s">
        <v>38</v>
      </c>
    </row>
    <row r="10" customFormat="false" ht="19.5" hidden="false" customHeight="true" outlineLevel="0" collapsed="false">
      <c r="A10" s="4" t="s">
        <v>39</v>
      </c>
      <c r="B10" s="4"/>
      <c r="C10" s="4"/>
    </row>
    <row r="11" customFormat="false" ht="100.5" hidden="false" customHeight="true" outlineLevel="0" collapsed="false">
      <c r="A11" s="13" t="s">
        <v>40</v>
      </c>
      <c r="B11" s="14" t="s">
        <v>41</v>
      </c>
      <c r="C11" s="15" t="s">
        <v>42</v>
      </c>
    </row>
    <row r="12" customFormat="false" ht="75" hidden="false" customHeight="true" outlineLevel="0" collapsed="false">
      <c r="A12" s="13" t="s">
        <v>43</v>
      </c>
      <c r="B12" s="14" t="s">
        <v>44</v>
      </c>
      <c r="C12" s="15" t="s">
        <v>45</v>
      </c>
    </row>
    <row r="13" customFormat="false" ht="87.75" hidden="false" customHeight="true" outlineLevel="0" collapsed="false">
      <c r="A13" s="13" t="s">
        <v>46</v>
      </c>
      <c r="B13" s="14" t="s">
        <v>47</v>
      </c>
      <c r="C13" s="15" t="s">
        <v>48</v>
      </c>
    </row>
    <row r="14" customFormat="false" ht="75" hidden="false" customHeight="true" outlineLevel="0" collapsed="false">
      <c r="A14" s="13" t="s">
        <v>49</v>
      </c>
      <c r="B14" s="14" t="s">
        <v>50</v>
      </c>
      <c r="C14" s="15" t="s">
        <v>51</v>
      </c>
    </row>
    <row r="16" customFormat="false" ht="19.5" hidden="false" customHeight="true" outlineLevel="0" collapsed="false">
      <c r="A16" s="4" t="s">
        <v>52</v>
      </c>
      <c r="B16" s="4"/>
      <c r="C16" s="4"/>
    </row>
    <row r="17" customFormat="false" ht="75" hidden="false" customHeight="true" outlineLevel="0" collapsed="false">
      <c r="A17" s="13" t="s">
        <v>53</v>
      </c>
      <c r="B17" s="14" t="s">
        <v>54</v>
      </c>
      <c r="C17" s="15" t="s">
        <v>55</v>
      </c>
    </row>
    <row r="18" customFormat="false" ht="75" hidden="false" customHeight="true" outlineLevel="0" collapsed="false">
      <c r="A18" s="13" t="s">
        <v>56</v>
      </c>
      <c r="B18" s="14" t="s">
        <v>57</v>
      </c>
      <c r="C18" s="15" t="s">
        <v>58</v>
      </c>
    </row>
    <row r="19" customFormat="false" ht="87.75" hidden="false" customHeight="true" outlineLevel="0" collapsed="false">
      <c r="A19" s="13" t="s">
        <v>59</v>
      </c>
      <c r="B19" s="14" t="s">
        <v>60</v>
      </c>
      <c r="C19" s="15" t="s">
        <v>61</v>
      </c>
    </row>
    <row r="21" customFormat="false" ht="19.5" hidden="false" customHeight="true" outlineLevel="0" collapsed="false">
      <c r="A21" s="4" t="s">
        <v>62</v>
      </c>
      <c r="B21" s="4"/>
      <c r="C21" s="4"/>
    </row>
    <row r="22" customFormat="false" ht="18" hidden="false" customHeight="true" outlineLevel="0" collapsed="false">
      <c r="A22" s="5" t="s">
        <v>63</v>
      </c>
      <c r="B22" s="5" t="s">
        <v>64</v>
      </c>
      <c r="C22" s="5" t="s">
        <v>65</v>
      </c>
    </row>
    <row r="23" customFormat="false" ht="49.5" hidden="false" customHeight="true" outlineLevel="0" collapsed="false">
      <c r="A23" s="16" t="s">
        <v>66</v>
      </c>
      <c r="B23" s="14" t="s">
        <v>67</v>
      </c>
      <c r="C23" s="17" t="s">
        <v>68</v>
      </c>
    </row>
    <row r="24" customFormat="false" ht="49.5" hidden="false" customHeight="true" outlineLevel="0" collapsed="false">
      <c r="A24" s="18" t="s">
        <v>69</v>
      </c>
      <c r="B24" s="19" t="s">
        <v>70</v>
      </c>
      <c r="C24" s="20" t="s">
        <v>71</v>
      </c>
    </row>
    <row r="25" customFormat="false" ht="49.5" hidden="false" customHeight="true" outlineLevel="0" collapsed="false">
      <c r="A25" s="16" t="s">
        <v>72</v>
      </c>
      <c r="B25" s="14" t="s">
        <v>73</v>
      </c>
      <c r="C25" s="17" t="s">
        <v>74</v>
      </c>
    </row>
    <row r="26" customFormat="false" ht="49.5" hidden="false" customHeight="true" outlineLevel="0" collapsed="false">
      <c r="A26" s="18" t="s">
        <v>75</v>
      </c>
      <c r="B26" s="19" t="s">
        <v>76</v>
      </c>
      <c r="C26" s="20" t="s">
        <v>77</v>
      </c>
    </row>
    <row r="27" customFormat="false" ht="49.5" hidden="false" customHeight="true" outlineLevel="0" collapsed="false">
      <c r="A27" s="16" t="s">
        <v>78</v>
      </c>
      <c r="B27" s="14" t="s">
        <v>79</v>
      </c>
      <c r="C27" s="17" t="s">
        <v>80</v>
      </c>
    </row>
    <row r="28" customFormat="false" ht="49.5" hidden="false" customHeight="true" outlineLevel="0" collapsed="false">
      <c r="A28" s="18" t="s">
        <v>81</v>
      </c>
      <c r="B28" s="19" t="s">
        <v>82</v>
      </c>
      <c r="C28" s="20" t="s">
        <v>83</v>
      </c>
    </row>
    <row r="29" customFormat="false" ht="49.5" hidden="false" customHeight="true" outlineLevel="0" collapsed="false">
      <c r="A29" s="16" t="s">
        <v>84</v>
      </c>
      <c r="B29" s="14" t="s">
        <v>85</v>
      </c>
      <c r="C29" s="17" t="s">
        <v>86</v>
      </c>
    </row>
    <row r="31" customFormat="false" ht="19.5" hidden="false" customHeight="true" outlineLevel="0" collapsed="false">
      <c r="A31" s="4" t="s">
        <v>87</v>
      </c>
      <c r="B31" s="4"/>
      <c r="C31" s="4"/>
    </row>
    <row r="32" customFormat="false" ht="18" hidden="false" customHeight="true" outlineLevel="0" collapsed="false">
      <c r="A32" s="5" t="s">
        <v>88</v>
      </c>
      <c r="B32" s="5" t="s">
        <v>89</v>
      </c>
      <c r="C32" s="5" t="s">
        <v>90</v>
      </c>
    </row>
    <row r="33" customFormat="false" ht="54.75" hidden="false" customHeight="true" outlineLevel="0" collapsed="false">
      <c r="A33" s="16" t="s">
        <v>91</v>
      </c>
      <c r="B33" s="14" t="s">
        <v>92</v>
      </c>
      <c r="C33" s="21" t="s">
        <v>93</v>
      </c>
    </row>
    <row r="34" customFormat="false" ht="54.75" hidden="false" customHeight="true" outlineLevel="0" collapsed="false">
      <c r="A34" s="18" t="s">
        <v>94</v>
      </c>
      <c r="B34" s="19" t="s">
        <v>95</v>
      </c>
      <c r="C34" s="22" t="s">
        <v>96</v>
      </c>
    </row>
    <row r="35" customFormat="false" ht="61.5" hidden="false" customHeight="true" outlineLevel="0" collapsed="false">
      <c r="A35" s="16" t="s">
        <v>97</v>
      </c>
      <c r="B35" s="14" t="s">
        <v>98</v>
      </c>
      <c r="C35" s="21" t="s">
        <v>99</v>
      </c>
    </row>
    <row r="36" customFormat="false" ht="61.5" hidden="false" customHeight="true" outlineLevel="0" collapsed="false">
      <c r="A36" s="18" t="s">
        <v>100</v>
      </c>
      <c r="B36" s="19" t="s">
        <v>101</v>
      </c>
      <c r="C36" s="22" t="s">
        <v>102</v>
      </c>
    </row>
  </sheetData>
  <mergeCells count="7">
    <mergeCell ref="A1:C1"/>
    <mergeCell ref="A2:C2"/>
    <mergeCell ref="A4:C4"/>
    <mergeCell ref="A10:C10"/>
    <mergeCell ref="A16:C16"/>
    <mergeCell ref="A21:C2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26"/>
    <col collapsed="false" customWidth="true" hidden="false" outlineLevel="0" max="4" min="4" style="0" width="3"/>
    <col collapsed="false" customWidth="true" hidden="false" outlineLevel="0" max="5" min="5" style="0" width="34"/>
    <col collapsed="false" customWidth="true" hidden="false" outlineLevel="0" max="6" min="6" style="0" width="18"/>
    <col collapsed="false" customWidth="true" hidden="false" outlineLevel="0" max="7" min="7" style="0" width="3"/>
    <col collapsed="false" customWidth="true" hidden="false" outlineLevel="0" max="8" min="8" style="0" width="52"/>
  </cols>
  <sheetData>
    <row r="1" customFormat="false" ht="24" hidden="false" customHeight="true" outlineLevel="0" collapsed="false">
      <c r="A1" s="23" t="s">
        <v>103</v>
      </c>
      <c r="B1" s="23"/>
      <c r="C1" s="23"/>
      <c r="D1" s="23"/>
      <c r="E1" s="23"/>
      <c r="F1" s="23"/>
      <c r="G1" s="23"/>
      <c r="H1" s="23"/>
    </row>
    <row r="2" customFormat="false" ht="54.75" hidden="false" customHeight="true" outlineLevel="0" collapsed="false">
      <c r="A2" s="3" t="s">
        <v>104</v>
      </c>
      <c r="B2" s="3"/>
      <c r="C2" s="3"/>
      <c r="D2" s="3"/>
      <c r="E2" s="3"/>
      <c r="F2" s="3"/>
      <c r="G2" s="3"/>
      <c r="H2" s="3"/>
    </row>
    <row r="4" customFormat="false" ht="18" hidden="false" customHeight="true" outlineLevel="0" collapsed="false">
      <c r="A4" s="5" t="s">
        <v>105</v>
      </c>
      <c r="B4" s="5" t="s">
        <v>106</v>
      </c>
      <c r="C4" s="5" t="s">
        <v>107</v>
      </c>
      <c r="E4" s="4" t="s">
        <v>108</v>
      </c>
      <c r="F4" s="4"/>
    </row>
    <row r="5" customFormat="false" ht="15" hidden="false" customHeight="true" outlineLevel="0" collapsed="false">
      <c r="A5" s="24" t="s">
        <v>109</v>
      </c>
      <c r="B5" s="25" t="n">
        <v>0.082</v>
      </c>
      <c r="C5" s="25" t="n">
        <v>-0.307</v>
      </c>
      <c r="E5" s="26" t="s">
        <v>110</v>
      </c>
      <c r="F5" s="27" t="n">
        <f aca="false">COUNTA(B5:B30)</f>
        <v>26</v>
      </c>
      <c r="H5" s="28" t="s">
        <v>111</v>
      </c>
    </row>
    <row r="6" customFormat="false" ht="15" hidden="false" customHeight="true" outlineLevel="0" collapsed="false">
      <c r="A6" s="29" t="s">
        <v>112</v>
      </c>
      <c r="B6" s="30" t="n">
        <v>0.031</v>
      </c>
      <c r="C6" s="30" t="n">
        <v>-0.023</v>
      </c>
      <c r="E6" s="31" t="s">
        <v>113</v>
      </c>
      <c r="F6" s="32" t="n">
        <f aca="false">CORREL(C5:C30,B5:B30)</f>
        <v>-0.456461699302162</v>
      </c>
      <c r="H6" s="28" t="s">
        <v>114</v>
      </c>
    </row>
    <row r="7" customFormat="false" ht="15" hidden="false" customHeight="true" outlineLevel="0" collapsed="false">
      <c r="A7" s="24" t="s">
        <v>115</v>
      </c>
      <c r="B7" s="25" t="n">
        <v>-0.126</v>
      </c>
      <c r="C7" s="25" t="n">
        <v>0.261</v>
      </c>
      <c r="E7" s="26" t="s">
        <v>116</v>
      </c>
      <c r="F7" s="33" t="n">
        <f aca="false">RSQ(C5:C30,B5:B30)</f>
        <v>0.208357282929817</v>
      </c>
      <c r="H7" s="28" t="s">
        <v>117</v>
      </c>
    </row>
    <row r="8" customFormat="false" ht="15" hidden="false" customHeight="true" outlineLevel="0" collapsed="false">
      <c r="A8" s="29" t="s">
        <v>118</v>
      </c>
      <c r="B8" s="30" t="n">
        <v>-0.142</v>
      </c>
      <c r="C8" s="30" t="n">
        <v>0.515</v>
      </c>
      <c r="E8" s="31" t="s">
        <v>119</v>
      </c>
      <c r="F8" s="34" t="n">
        <f aca="false">SLOPE(C5:C30,B5:B30)</f>
        <v>-1.51658017158754</v>
      </c>
      <c r="H8" s="28" t="s">
        <v>120</v>
      </c>
    </row>
    <row r="9" customFormat="false" ht="15" hidden="false" customHeight="true" outlineLevel="0" collapsed="false">
      <c r="A9" s="24" t="s">
        <v>121</v>
      </c>
      <c r="B9" s="25" t="n">
        <v>-0.058</v>
      </c>
      <c r="C9" s="25" t="n">
        <v>0.225</v>
      </c>
      <c r="E9" s="26" t="s">
        <v>122</v>
      </c>
      <c r="F9" s="35" t="n">
        <f aca="false">INTERCEPT(C5:C30,B5:B30)</f>
        <v>0.0785722984673648</v>
      </c>
      <c r="H9" s="28" t="s">
        <v>123</v>
      </c>
    </row>
    <row r="10" customFormat="false" ht="15" hidden="false" customHeight="true" outlineLevel="0" collapsed="false">
      <c r="A10" s="29" t="s">
        <v>124</v>
      </c>
      <c r="B10" s="30" t="n">
        <v>0.104</v>
      </c>
      <c r="C10" s="30" t="n">
        <v>-0.108</v>
      </c>
      <c r="E10" s="31" t="s">
        <v>125</v>
      </c>
      <c r="F10" s="36" t="n">
        <f aca="false">IFERROR(INDEX(LINEST(C5:C30,B5:B30,TRUE(),TRUE()),2,1),"-")</f>
        <v>0.603420444369613</v>
      </c>
      <c r="H10" s="28" t="s">
        <v>126</v>
      </c>
    </row>
    <row r="11" customFormat="false" ht="15" hidden="false" customHeight="true" outlineLevel="0" collapsed="false">
      <c r="A11" s="24" t="s">
        <v>127</v>
      </c>
      <c r="B11" s="25" t="n">
        <v>0.013</v>
      </c>
      <c r="C11" s="25" t="n">
        <v>0.151</v>
      </c>
      <c r="E11" s="26" t="s">
        <v>128</v>
      </c>
      <c r="F11" s="33" t="n">
        <f aca="false">IFERROR(F8/F10,"-")</f>
        <v>-2.51330591420695</v>
      </c>
      <c r="H11" s="28" t="s">
        <v>129</v>
      </c>
    </row>
    <row r="12" customFormat="false" ht="15" hidden="false" customHeight="true" outlineLevel="0" collapsed="false">
      <c r="A12" s="29" t="s">
        <v>130</v>
      </c>
      <c r="B12" s="30" t="n">
        <v>-0.072</v>
      </c>
      <c r="C12" s="30" t="n">
        <v>0.393</v>
      </c>
      <c r="E12" s="31" t="s">
        <v>131</v>
      </c>
      <c r="F12" s="36" t="n">
        <f aca="false">IFERROR(TDIST(ABS(F11),F5-2,2),"-")</f>
        <v>0.019079961785664</v>
      </c>
      <c r="H12" s="28" t="s">
        <v>132</v>
      </c>
    </row>
    <row r="13" customFormat="false" ht="15" hidden="false" customHeight="true" outlineLevel="0" collapsed="false">
      <c r="A13" s="24" t="s">
        <v>133</v>
      </c>
      <c r="B13" s="25" t="n">
        <v>0.118</v>
      </c>
      <c r="C13" s="25" t="n">
        <v>-0.533</v>
      </c>
      <c r="E13" s="37" t="s">
        <v>134</v>
      </c>
      <c r="F13" s="38" t="n">
        <v>-0.056</v>
      </c>
      <c r="H13" s="28" t="s">
        <v>135</v>
      </c>
    </row>
    <row r="14" customFormat="false" ht="15" hidden="false" customHeight="true" outlineLevel="0" collapsed="false">
      <c r="A14" s="29" t="s">
        <v>136</v>
      </c>
      <c r="B14" s="30" t="n">
        <v>-0.047</v>
      </c>
      <c r="C14" s="30" t="n">
        <v>0.785</v>
      </c>
      <c r="E14" s="31" t="s">
        <v>137</v>
      </c>
      <c r="F14" s="39" t="n">
        <f aca="false">F8*F13</f>
        <v>0.084928489608902</v>
      </c>
      <c r="H14" s="28" t="s">
        <v>138</v>
      </c>
    </row>
    <row r="15" customFormat="false" ht="15" hidden="false" customHeight="true" outlineLevel="0" collapsed="false">
      <c r="A15" s="24" t="s">
        <v>139</v>
      </c>
      <c r="B15" s="25" t="n">
        <v>0.126</v>
      </c>
      <c r="C15" s="25" t="n">
        <v>0.192</v>
      </c>
    </row>
    <row r="16" customFormat="false" ht="27.75" hidden="false" customHeight="true" outlineLevel="0" collapsed="false">
      <c r="A16" s="29" t="s">
        <v>140</v>
      </c>
      <c r="B16" s="30" t="n">
        <v>-0.008</v>
      </c>
      <c r="C16" s="30" t="n">
        <v>-0.185</v>
      </c>
      <c r="E16" s="40" t="s">
        <v>141</v>
      </c>
      <c r="F16" s="40"/>
      <c r="G16" s="40"/>
      <c r="H16" s="40"/>
    </row>
    <row r="17" customFormat="false" ht="15" hidden="false" customHeight="true" outlineLevel="0" collapsed="false">
      <c r="A17" s="24" t="s">
        <v>142</v>
      </c>
      <c r="B17" s="25" t="n">
        <v>0.091</v>
      </c>
      <c r="C17" s="25" t="n">
        <v>0.187</v>
      </c>
    </row>
    <row r="18" customFormat="false" ht="15" hidden="false" customHeight="true" outlineLevel="0" collapsed="false">
      <c r="A18" s="29" t="s">
        <v>143</v>
      </c>
      <c r="B18" s="30" t="n">
        <v>0.064</v>
      </c>
      <c r="C18" s="30" t="n">
        <v>-0.024</v>
      </c>
    </row>
    <row r="19" customFormat="false" ht="15" hidden="false" customHeight="true" outlineLevel="0" collapsed="false">
      <c r="A19" s="24" t="s">
        <v>144</v>
      </c>
      <c r="B19" s="25" t="n">
        <v>0.003</v>
      </c>
      <c r="C19" s="25" t="n">
        <v>-0.145</v>
      </c>
    </row>
    <row r="20" customFormat="false" ht="15" hidden="false" customHeight="true" outlineLevel="0" collapsed="false">
      <c r="A20" s="29" t="s">
        <v>145</v>
      </c>
      <c r="B20" s="30" t="n">
        <v>-0.079</v>
      </c>
      <c r="C20" s="30" t="n">
        <v>0.115</v>
      </c>
    </row>
    <row r="21" customFormat="false" ht="15" hidden="false" customHeight="true" outlineLevel="0" collapsed="false">
      <c r="A21" s="24" t="s">
        <v>146</v>
      </c>
      <c r="B21" s="25" t="n">
        <v>0.031</v>
      </c>
      <c r="C21" s="25" t="n">
        <v>0.013</v>
      </c>
    </row>
    <row r="22" customFormat="false" ht="15" hidden="false" customHeight="true" outlineLevel="0" collapsed="false">
      <c r="A22" s="29" t="s">
        <v>147</v>
      </c>
      <c r="B22" s="30" t="n">
        <v>0.029</v>
      </c>
      <c r="C22" s="30" t="n">
        <v>0.377</v>
      </c>
    </row>
    <row r="23" customFormat="false" ht="15" hidden="false" customHeight="true" outlineLevel="0" collapsed="false">
      <c r="A23" s="24" t="s">
        <v>148</v>
      </c>
      <c r="B23" s="25" t="n">
        <v>-0.143</v>
      </c>
      <c r="C23" s="25" t="n">
        <v>-0.147</v>
      </c>
    </row>
    <row r="24" customFormat="false" ht="15" hidden="false" customHeight="true" outlineLevel="0" collapsed="false">
      <c r="A24" s="29" t="s">
        <v>149</v>
      </c>
      <c r="B24" s="30" t="n">
        <v>0.071</v>
      </c>
      <c r="C24" s="30" t="n">
        <v>0.188</v>
      </c>
    </row>
    <row r="25" customFormat="false" ht="15" hidden="false" customHeight="true" outlineLevel="0" collapsed="false">
      <c r="A25" s="24" t="s">
        <v>150</v>
      </c>
      <c r="B25" s="25" t="n">
        <v>0.067</v>
      </c>
      <c r="C25" s="25" t="n">
        <v>-0.024</v>
      </c>
    </row>
    <row r="26" customFormat="false" ht="15" hidden="false" customHeight="true" outlineLevel="0" collapsed="false">
      <c r="A26" s="29" t="s">
        <v>151</v>
      </c>
      <c r="B26" s="30" t="n">
        <v>0.141</v>
      </c>
      <c r="C26" s="30" t="n">
        <v>-0.225</v>
      </c>
    </row>
    <row r="27" customFormat="false" ht="15" hidden="false" customHeight="true" outlineLevel="0" collapsed="false">
      <c r="A27" s="24" t="s">
        <v>152</v>
      </c>
      <c r="B27" s="25" t="n">
        <v>-0.023</v>
      </c>
      <c r="C27" s="25" t="n">
        <v>-0.148</v>
      </c>
    </row>
    <row r="28" customFormat="false" ht="15" hidden="false" customHeight="true" outlineLevel="0" collapsed="false">
      <c r="A28" s="29" t="s">
        <v>153</v>
      </c>
      <c r="B28" s="30" t="n">
        <v>-0.035</v>
      </c>
      <c r="C28" s="30" t="n">
        <v>0.099</v>
      </c>
    </row>
    <row r="29" customFormat="false" ht="15" hidden="false" customHeight="true" outlineLevel="0" collapsed="false">
      <c r="A29" s="24" t="s">
        <v>154</v>
      </c>
      <c r="B29" s="25" t="n">
        <v>0.052</v>
      </c>
      <c r="C29" s="25" t="n">
        <v>-0.026</v>
      </c>
    </row>
    <row r="30" customFormat="false" ht="15" hidden="false" customHeight="true" outlineLevel="0" collapsed="false">
      <c r="A30" s="41" t="s">
        <v>155</v>
      </c>
      <c r="B30" s="42" t="n">
        <v>-0.056</v>
      </c>
      <c r="C30" s="42" t="n">
        <v>0.082</v>
      </c>
    </row>
  </sheetData>
  <mergeCells count="4">
    <mergeCell ref="A1:H1"/>
    <mergeCell ref="A2:H2"/>
    <mergeCell ref="E4:F4"/>
    <mergeCell ref="E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6"/>
    <col collapsed="false" customWidth="true" hidden="false" outlineLevel="0" max="5" min="4" style="0" width="22"/>
    <col collapsed="false" customWidth="true" hidden="false" outlineLevel="0" max="6" min="6" style="0" width="62"/>
  </cols>
  <sheetData>
    <row r="1" customFormat="false" ht="24" hidden="false" customHeight="true" outlineLevel="0" collapsed="false">
      <c r="A1" s="23" t="s">
        <v>156</v>
      </c>
      <c r="B1" s="23"/>
      <c r="C1" s="23"/>
      <c r="D1" s="23"/>
      <c r="E1" s="23"/>
      <c r="F1" s="23"/>
    </row>
    <row r="2" customFormat="false" ht="57.75" hidden="false" customHeight="true" outlineLevel="0" collapsed="false">
      <c r="A2" s="3" t="s">
        <v>157</v>
      </c>
      <c r="B2" s="3"/>
      <c r="C2" s="3"/>
      <c r="D2" s="3"/>
      <c r="E2" s="3"/>
      <c r="F2" s="3"/>
    </row>
    <row r="4" customFormat="false" ht="18" hidden="false" customHeight="true" outlineLevel="0" collapsed="false">
      <c r="A4" s="5" t="s">
        <v>158</v>
      </c>
      <c r="B4" s="5" t="s">
        <v>159</v>
      </c>
      <c r="C4" s="5" t="s">
        <v>160</v>
      </c>
      <c r="D4" s="5" t="s">
        <v>161</v>
      </c>
      <c r="E4" s="5" t="s">
        <v>162</v>
      </c>
      <c r="F4" s="5" t="s">
        <v>163</v>
      </c>
    </row>
    <row r="5" customFormat="false" ht="36" hidden="false" customHeight="true" outlineLevel="0" collapsed="false">
      <c r="A5" s="31" t="s">
        <v>115</v>
      </c>
      <c r="B5" s="24" t="s">
        <v>164</v>
      </c>
      <c r="C5" s="43" t="n">
        <v>120.2</v>
      </c>
      <c r="D5" s="25" t="n">
        <v>0.372</v>
      </c>
      <c r="E5" s="25" t="n">
        <v>0.558</v>
      </c>
      <c r="F5" s="14" t="s">
        <v>165</v>
      </c>
    </row>
    <row r="6" customFormat="false" ht="36" hidden="false" customHeight="true" outlineLevel="0" collapsed="false">
      <c r="A6" s="44" t="s">
        <v>136</v>
      </c>
      <c r="B6" s="45" t="s">
        <v>166</v>
      </c>
      <c r="C6" s="46" t="n">
        <v>89.6</v>
      </c>
      <c r="D6" s="47" t="n">
        <v>0.718</v>
      </c>
      <c r="E6" s="47" t="n">
        <v>1.021</v>
      </c>
      <c r="F6" s="48" t="s">
        <v>167</v>
      </c>
    </row>
    <row r="7" customFormat="false" ht="36" hidden="false" customHeight="true" outlineLevel="0" collapsed="false">
      <c r="A7" s="31" t="s">
        <v>145</v>
      </c>
      <c r="B7" s="24" t="s">
        <v>168</v>
      </c>
      <c r="C7" s="43" t="n">
        <v>100.4</v>
      </c>
      <c r="D7" s="25" t="n">
        <v>0.083</v>
      </c>
      <c r="E7" s="25" t="n">
        <v>0.051</v>
      </c>
      <c r="F7" s="14" t="s">
        <v>169</v>
      </c>
    </row>
    <row r="8" customFormat="false" ht="36" hidden="false" customHeight="true" outlineLevel="0" collapsed="false">
      <c r="A8" s="26" t="s">
        <v>150</v>
      </c>
      <c r="B8" s="29" t="s">
        <v>170</v>
      </c>
      <c r="C8" s="49" t="n">
        <v>102.8</v>
      </c>
      <c r="D8" s="30" t="n">
        <v>0.271</v>
      </c>
      <c r="E8" s="30" t="n">
        <v>0.387</v>
      </c>
      <c r="F8" s="19" t="s">
        <v>171</v>
      </c>
    </row>
    <row r="9" customFormat="false" ht="36" hidden="false" customHeight="true" outlineLevel="0" collapsed="false">
      <c r="A9" s="31" t="s">
        <v>152</v>
      </c>
      <c r="B9" s="24" t="s">
        <v>172</v>
      </c>
      <c r="C9" s="43" t="n">
        <v>114.1</v>
      </c>
      <c r="D9" s="25" t="n">
        <v>0.114</v>
      </c>
      <c r="E9" s="25" t="n">
        <v>0.142</v>
      </c>
      <c r="F9" s="14" t="s">
        <v>173</v>
      </c>
    </row>
    <row r="10" customFormat="false" ht="36" hidden="false" customHeight="true" outlineLevel="0" collapsed="false">
      <c r="A10" s="50" t="s">
        <v>174</v>
      </c>
      <c r="B10" s="41" t="s">
        <v>175</v>
      </c>
      <c r="C10" s="51" t="n">
        <v>107.3</v>
      </c>
      <c r="D10" s="52" t="s">
        <v>176</v>
      </c>
      <c r="E10" s="52" t="s">
        <v>176</v>
      </c>
      <c r="F10" s="53" t="s">
        <v>177</v>
      </c>
    </row>
    <row r="12" customFormat="false" ht="18" hidden="false" customHeight="true" outlineLevel="0" collapsed="false">
      <c r="A12" s="4" t="s">
        <v>178</v>
      </c>
      <c r="B12" s="4"/>
      <c r="C12" s="4"/>
      <c r="D12" s="4"/>
      <c r="E12" s="4"/>
    </row>
    <row r="13" customFormat="false" ht="19.5" hidden="false" customHeight="true" outlineLevel="0" collapsed="false">
      <c r="A13" s="13" t="s">
        <v>179</v>
      </c>
      <c r="B13" s="54" t="n">
        <f aca="false">AVERAGE(D5:D9)</f>
        <v>0.3116</v>
      </c>
      <c r="C13" s="54"/>
      <c r="D13" s="55" t="s">
        <v>180</v>
      </c>
      <c r="E13" s="55"/>
      <c r="F13" s="55"/>
    </row>
    <row r="14" customFormat="false" ht="19.5" hidden="false" customHeight="true" outlineLevel="0" collapsed="false">
      <c r="A14" s="13" t="s">
        <v>181</v>
      </c>
      <c r="B14" s="54" t="n">
        <f aca="false">AVERAGE(D5,D7:D9)</f>
        <v>0.21</v>
      </c>
      <c r="C14" s="54"/>
      <c r="D14" s="55" t="s">
        <v>182</v>
      </c>
      <c r="E14" s="55"/>
      <c r="F14" s="55"/>
    </row>
    <row r="15" customFormat="false" ht="19.5" hidden="false" customHeight="true" outlineLevel="0" collapsed="false">
      <c r="A15" s="13" t="s">
        <v>183</v>
      </c>
      <c r="B15" s="54" t="n">
        <f aca="false">MEDIAN(D5:D9)</f>
        <v>0.271</v>
      </c>
      <c r="C15" s="54"/>
      <c r="D15" s="55" t="s">
        <v>184</v>
      </c>
      <c r="E15" s="55"/>
      <c r="F15" s="55"/>
    </row>
    <row r="16" customFormat="false" ht="19.5" hidden="false" customHeight="true" outlineLevel="0" collapsed="false">
      <c r="A16" s="13" t="s">
        <v>185</v>
      </c>
      <c r="B16" s="54" t="n">
        <f aca="false">MIN(D5:D9)</f>
        <v>0.083</v>
      </c>
      <c r="C16" s="54"/>
      <c r="D16" s="55" t="s">
        <v>186</v>
      </c>
      <c r="E16" s="55"/>
      <c r="F16" s="55"/>
    </row>
    <row r="17" customFormat="false" ht="19.5" hidden="false" customHeight="true" outlineLevel="0" collapsed="false">
      <c r="A17" s="13" t="s">
        <v>187</v>
      </c>
      <c r="B17" s="54" t="n">
        <f aca="false">MAX(D5:D9)</f>
        <v>0.718</v>
      </c>
      <c r="C17" s="54"/>
      <c r="D17" s="55" t="s">
        <v>188</v>
      </c>
      <c r="E17" s="55"/>
      <c r="F17" s="55"/>
    </row>
  </sheetData>
  <mergeCells count="13">
    <mergeCell ref="A1:F1"/>
    <mergeCell ref="A2:F2"/>
    <mergeCell ref="A12:E12"/>
    <mergeCell ref="B13:C13"/>
    <mergeCell ref="D13:F13"/>
    <mergeCell ref="B14:C14"/>
    <mergeCell ref="D14:F14"/>
    <mergeCell ref="B15:C15"/>
    <mergeCell ref="D15:F15"/>
    <mergeCell ref="B16:C16"/>
    <mergeCell ref="D16:F16"/>
    <mergeCell ref="B17:C17"/>
    <mergeCell ref="D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30"/>
    <col collapsed="false" customWidth="true" hidden="false" outlineLevel="0" max="4" min="4" style="0" width="24"/>
    <col collapsed="false" customWidth="true" hidden="false" outlineLevel="0" max="5" min="5" style="0" width="52"/>
  </cols>
  <sheetData>
    <row r="1" customFormat="false" ht="24" hidden="false" customHeight="true" outlineLevel="0" collapsed="false">
      <c r="A1" s="23" t="s">
        <v>189</v>
      </c>
      <c r="B1" s="23"/>
      <c r="C1" s="23"/>
      <c r="D1" s="23"/>
      <c r="E1" s="23"/>
    </row>
    <row r="2" customFormat="false" ht="64.5" hidden="false" customHeight="true" outlineLevel="0" collapsed="false">
      <c r="A2" s="3" t="s">
        <v>190</v>
      </c>
      <c r="B2" s="3"/>
      <c r="C2" s="3"/>
      <c r="D2" s="3"/>
      <c r="E2" s="3"/>
    </row>
    <row r="4" customFormat="false" ht="18" hidden="false" customHeight="true" outlineLevel="0" collapsed="false">
      <c r="A4" s="5" t="s">
        <v>191</v>
      </c>
      <c r="B4" s="5" t="s">
        <v>192</v>
      </c>
      <c r="C4" s="5" t="s">
        <v>193</v>
      </c>
      <c r="D4" s="5" t="s">
        <v>194</v>
      </c>
    </row>
    <row r="5" customFormat="false" ht="15" hidden="false" customHeight="true" outlineLevel="0" collapsed="false">
      <c r="A5" s="24" t="s">
        <v>195</v>
      </c>
      <c r="B5" s="56" t="n">
        <v>0.006</v>
      </c>
      <c r="C5" s="43" t="n">
        <v>100</v>
      </c>
      <c r="D5" s="57" t="s">
        <v>196</v>
      </c>
    </row>
    <row r="6" customFormat="false" ht="15" hidden="false" customHeight="true" outlineLevel="0" collapsed="false">
      <c r="A6" s="29" t="s">
        <v>197</v>
      </c>
      <c r="B6" s="58" t="n">
        <v>0.004</v>
      </c>
      <c r="C6" s="49" t="n">
        <v>97.1</v>
      </c>
      <c r="D6" s="35" t="n">
        <f aca="false">(C6-C5)/C5</f>
        <v>-0.0290000000000001</v>
      </c>
    </row>
    <row r="7" customFormat="false" ht="15" hidden="false" customHeight="true" outlineLevel="0" collapsed="false">
      <c r="A7" s="24" t="s">
        <v>198</v>
      </c>
      <c r="B7" s="56" t="n">
        <v>-0.009</v>
      </c>
      <c r="C7" s="43" t="n">
        <v>95.2</v>
      </c>
      <c r="D7" s="39" t="n">
        <f aca="false">(C7-C6)/C6</f>
        <v>-0.0195674562306899</v>
      </c>
    </row>
    <row r="8" customFormat="false" ht="15" hidden="false" customHeight="true" outlineLevel="0" collapsed="false">
      <c r="A8" s="29" t="s">
        <v>199</v>
      </c>
      <c r="B8" s="58" t="n">
        <v>-0.011</v>
      </c>
      <c r="C8" s="49" t="n">
        <v>98.3</v>
      </c>
      <c r="D8" s="35" t="n">
        <f aca="false">(C8-C7)/C7</f>
        <v>0.032563025210084</v>
      </c>
    </row>
    <row r="9" customFormat="false" ht="15" hidden="false" customHeight="true" outlineLevel="0" collapsed="false">
      <c r="A9" s="24" t="s">
        <v>200</v>
      </c>
      <c r="B9" s="56" t="n">
        <v>-0.01</v>
      </c>
      <c r="C9" s="43" t="n">
        <v>100.1</v>
      </c>
      <c r="D9" s="39" t="n">
        <f aca="false">(C9-C8)/C8</f>
        <v>0.0183112919633774</v>
      </c>
    </row>
    <row r="10" customFormat="false" ht="15" hidden="false" customHeight="true" outlineLevel="0" collapsed="false">
      <c r="A10" s="29" t="s">
        <v>201</v>
      </c>
      <c r="B10" s="58" t="n">
        <v>-0.011</v>
      </c>
      <c r="C10" s="49" t="n">
        <v>101.4</v>
      </c>
      <c r="D10" s="35" t="n">
        <f aca="false">(C10-C9)/C9</f>
        <v>0.0129870129870131</v>
      </c>
    </row>
    <row r="11" customFormat="false" ht="15" hidden="false" customHeight="true" outlineLevel="0" collapsed="false">
      <c r="A11" s="24" t="s">
        <v>202</v>
      </c>
      <c r="B11" s="56" t="n">
        <v>-0.008</v>
      </c>
      <c r="C11" s="43" t="n">
        <v>102.2</v>
      </c>
      <c r="D11" s="39" t="n">
        <f aca="false">(C11-C10)/C10</f>
        <v>0.00788954635108478</v>
      </c>
    </row>
    <row r="12" customFormat="false" ht="15" hidden="false" customHeight="true" outlineLevel="0" collapsed="false">
      <c r="A12" s="29" t="s">
        <v>203</v>
      </c>
      <c r="B12" s="58" t="n">
        <v>-0.004</v>
      </c>
      <c r="C12" s="49" t="n">
        <v>103</v>
      </c>
      <c r="D12" s="35" t="n">
        <f aca="false">(C12-C11)/C11</f>
        <v>0.00782778864970643</v>
      </c>
    </row>
    <row r="13" customFormat="false" ht="15" hidden="false" customHeight="true" outlineLevel="0" collapsed="false">
      <c r="A13" s="24" t="s">
        <v>204</v>
      </c>
      <c r="B13" s="56" t="n">
        <v>0.001</v>
      </c>
      <c r="C13" s="43" t="n">
        <v>101.1</v>
      </c>
      <c r="D13" s="39" t="n">
        <f aca="false">(C13-C12)/C12</f>
        <v>-0.0184466019417476</v>
      </c>
    </row>
    <row r="14" customFormat="false" ht="15" hidden="false" customHeight="true" outlineLevel="0" collapsed="false">
      <c r="A14" s="29" t="s">
        <v>205</v>
      </c>
      <c r="B14" s="58" t="n">
        <v>0.006</v>
      </c>
      <c r="C14" s="49" t="n">
        <v>100</v>
      </c>
      <c r="D14" s="35" t="n">
        <f aca="false">(C14-C13)/C13</f>
        <v>-0.0108803165182987</v>
      </c>
    </row>
    <row r="15" customFormat="false" ht="15" hidden="false" customHeight="true" outlineLevel="0" collapsed="false">
      <c r="A15" s="24" t="s">
        <v>206</v>
      </c>
      <c r="B15" s="56" t="n">
        <v>0.01</v>
      </c>
      <c r="C15" s="43" t="n">
        <v>97.8</v>
      </c>
      <c r="D15" s="39" t="n">
        <f aca="false">(C15-C14)/C14</f>
        <v>-0.022</v>
      </c>
    </row>
    <row r="16" customFormat="false" ht="15" hidden="false" customHeight="true" outlineLevel="0" collapsed="false">
      <c r="A16" s="29" t="s">
        <v>207</v>
      </c>
      <c r="B16" s="58" t="n">
        <v>0.015</v>
      </c>
      <c r="C16" s="49" t="n">
        <v>96.1</v>
      </c>
      <c r="D16" s="35" t="n">
        <f aca="false">(C16-C15)/C15</f>
        <v>-0.0173824130879346</v>
      </c>
    </row>
    <row r="17" customFormat="false" ht="15" hidden="false" customHeight="true" outlineLevel="0" collapsed="false">
      <c r="A17" s="24" t="s">
        <v>208</v>
      </c>
      <c r="B17" s="56" t="n">
        <v>0.018</v>
      </c>
      <c r="C17" s="43" t="n">
        <v>93.8</v>
      </c>
      <c r="D17" s="39" t="n">
        <f aca="false">(C17-C16)/C16</f>
        <v>-0.0239334027055151</v>
      </c>
    </row>
    <row r="18" customFormat="false" ht="15" hidden="false" customHeight="true" outlineLevel="0" collapsed="false">
      <c r="A18" s="29" t="s">
        <v>209</v>
      </c>
      <c r="B18" s="58" t="n">
        <v>0.022</v>
      </c>
      <c r="C18" s="49" t="n">
        <v>90.6</v>
      </c>
      <c r="D18" s="35" t="n">
        <f aca="false">(C18-C17)/C17</f>
        <v>-0.0341151385927506</v>
      </c>
    </row>
    <row r="19" customFormat="false" ht="15" hidden="false" customHeight="true" outlineLevel="0" collapsed="false">
      <c r="A19" s="24" t="s">
        <v>210</v>
      </c>
      <c r="B19" s="56" t="n">
        <v>0.024</v>
      </c>
      <c r="C19" s="43" t="n">
        <v>88.7</v>
      </c>
      <c r="D19" s="39" t="n">
        <f aca="false">(C19-C18)/C18</f>
        <v>-0.020971302428256</v>
      </c>
    </row>
    <row r="20" customFormat="false" ht="15" hidden="false" customHeight="true" outlineLevel="0" collapsed="false">
      <c r="A20" s="29" t="s">
        <v>211</v>
      </c>
      <c r="B20" s="58" t="n">
        <v>0.023</v>
      </c>
      <c r="C20" s="49" t="n">
        <v>87.9</v>
      </c>
      <c r="D20" s="35" t="n">
        <f aca="false">(C20-C19)/C19</f>
        <v>-0.00901916572717021</v>
      </c>
    </row>
    <row r="21" customFormat="false" ht="15" hidden="false" customHeight="true" outlineLevel="0" collapsed="false">
      <c r="A21" s="24" t="s">
        <v>212</v>
      </c>
      <c r="B21" s="56" t="n">
        <v>0.021</v>
      </c>
      <c r="C21" s="43" t="n">
        <v>86.9</v>
      </c>
      <c r="D21" s="39" t="n">
        <f aca="false">(C21-C20)/C20</f>
        <v>-0.0113765642775882</v>
      </c>
    </row>
    <row r="22" customFormat="false" ht="15" hidden="false" customHeight="true" outlineLevel="0" collapsed="false">
      <c r="A22" s="29" t="s">
        <v>213</v>
      </c>
      <c r="B22" s="58" t="n">
        <v>0.022</v>
      </c>
      <c r="C22" s="49" t="n">
        <v>87.5</v>
      </c>
      <c r="D22" s="35" t="n">
        <f aca="false">(C22-C21)/C21</f>
        <v>0.00690448791714608</v>
      </c>
    </row>
    <row r="23" customFormat="false" ht="15" hidden="false" customHeight="true" outlineLevel="0" collapsed="false">
      <c r="A23" s="24" t="s">
        <v>214</v>
      </c>
      <c r="B23" s="56" t="n">
        <v>0.023</v>
      </c>
      <c r="C23" s="43" t="n">
        <v>86.8</v>
      </c>
      <c r="D23" s="39" t="n">
        <f aca="false">(C23-C22)/C22</f>
        <v>-0.00800000000000003</v>
      </c>
    </row>
    <row r="24" customFormat="false" ht="15" hidden="false" customHeight="true" outlineLevel="0" collapsed="false">
      <c r="A24" s="29" t="s">
        <v>215</v>
      </c>
      <c r="B24" s="58" t="n">
        <v>0.022</v>
      </c>
      <c r="C24" s="49" t="n">
        <v>87.2</v>
      </c>
      <c r="D24" s="35" t="n">
        <f aca="false">(C24-C23)/C23</f>
        <v>0.00460829493087564</v>
      </c>
    </row>
    <row r="25" customFormat="false" ht="15" hidden="false" customHeight="true" outlineLevel="0" collapsed="false">
      <c r="A25" s="24" t="s">
        <v>216</v>
      </c>
      <c r="B25" s="56" t="n">
        <v>0.02</v>
      </c>
      <c r="C25" s="43" t="n">
        <v>87.9</v>
      </c>
      <c r="D25" s="39" t="n">
        <f aca="false">(C25-C24)/C24</f>
        <v>0.00802752293577985</v>
      </c>
    </row>
    <row r="26" customFormat="false" ht="15" hidden="false" customHeight="true" outlineLevel="0" collapsed="false">
      <c r="A26" s="29" t="s">
        <v>217</v>
      </c>
      <c r="B26" s="58" t="n">
        <v>0.019</v>
      </c>
      <c r="C26" s="49" t="n">
        <v>89.6</v>
      </c>
      <c r="D26" s="35" t="n">
        <f aca="false">(C26-C25)/C25</f>
        <v>0.0193401592718998</v>
      </c>
    </row>
    <row r="27" customFormat="false" ht="15" hidden="false" customHeight="true" outlineLevel="0" collapsed="false">
      <c r="A27" s="24" t="s">
        <v>218</v>
      </c>
      <c r="B27" s="56" t="n">
        <v>0.02</v>
      </c>
      <c r="C27" s="43" t="n">
        <v>91</v>
      </c>
      <c r="D27" s="39" t="n">
        <f aca="false">(C27-C26)/C26</f>
        <v>0.0156250000000001</v>
      </c>
    </row>
    <row r="28" customFormat="false" ht="15" hidden="false" customHeight="true" outlineLevel="0" collapsed="false">
      <c r="A28" s="29" t="s">
        <v>219</v>
      </c>
      <c r="B28" s="58" t="n">
        <v>0.021</v>
      </c>
      <c r="C28" s="49" t="n">
        <v>92.7</v>
      </c>
      <c r="D28" s="35" t="n">
        <f aca="false">(C28-C27)/C27</f>
        <v>0.0186813186813187</v>
      </c>
    </row>
    <row r="29" customFormat="false" ht="15" hidden="false" customHeight="true" outlineLevel="0" collapsed="false">
      <c r="A29" s="24" t="s">
        <v>220</v>
      </c>
      <c r="B29" s="56" t="n">
        <v>0.02</v>
      </c>
      <c r="C29" s="43" t="n">
        <v>94.2</v>
      </c>
      <c r="D29" s="39" t="n">
        <f aca="false">(C29-C28)/C28</f>
        <v>0.0161812297734628</v>
      </c>
    </row>
    <row r="31" customFormat="false" ht="18" hidden="false" customHeight="true" outlineLevel="0" collapsed="false">
      <c r="A31" s="4" t="s">
        <v>221</v>
      </c>
      <c r="B31" s="4"/>
      <c r="C31" s="4"/>
      <c r="D31" s="4"/>
    </row>
    <row r="32" customFormat="false" ht="18" hidden="false" customHeight="true" outlineLevel="0" collapsed="false">
      <c r="A32" s="37" t="s">
        <v>222</v>
      </c>
      <c r="B32" s="59" t="n">
        <v>0.018</v>
      </c>
      <c r="C32" s="59"/>
      <c r="D32" s="60" t="s">
        <v>223</v>
      </c>
    </row>
    <row r="33" customFormat="false" ht="30" hidden="false" customHeight="true" outlineLevel="0" collapsed="false">
      <c r="A33" s="61" t="s">
        <v>224</v>
      </c>
      <c r="B33" s="61"/>
      <c r="C33" s="61"/>
      <c r="D33" s="61"/>
      <c r="E33" s="61"/>
    </row>
  </sheetData>
  <mergeCells count="5">
    <mergeCell ref="A1:E1"/>
    <mergeCell ref="A2:E2"/>
    <mergeCell ref="A31:D31"/>
    <mergeCell ref="B32:C32"/>
    <mergeCell ref="A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6"/>
    <col collapsed="false" customWidth="true" hidden="false" outlineLevel="0" max="4" min="2" style="0" width="20"/>
    <col collapsed="false" customWidth="true" hidden="false" outlineLevel="0" max="5" min="5" style="0" width="46"/>
  </cols>
  <sheetData>
    <row r="1" customFormat="false" ht="24" hidden="false" customHeight="true" outlineLevel="0" collapsed="false">
      <c r="A1" s="23" t="s">
        <v>225</v>
      </c>
      <c r="B1" s="23"/>
      <c r="C1" s="23"/>
      <c r="D1" s="23"/>
      <c r="E1" s="23"/>
    </row>
    <row r="2" customFormat="false" ht="72" hidden="false" customHeight="true" outlineLevel="0" collapsed="false">
      <c r="A2" s="3" t="s">
        <v>226</v>
      </c>
      <c r="B2" s="3"/>
      <c r="C2" s="3"/>
      <c r="D2" s="3"/>
      <c r="E2" s="3"/>
    </row>
    <row r="4" customFormat="false" ht="18" hidden="false" customHeight="true" outlineLevel="0" collapsed="false">
      <c r="A4" s="4" t="s">
        <v>227</v>
      </c>
      <c r="B4" s="4"/>
      <c r="C4" s="4"/>
      <c r="D4" s="4"/>
      <c r="E4" s="4"/>
    </row>
    <row r="5" customFormat="false" ht="18" hidden="false" customHeight="true" outlineLevel="0" collapsed="false">
      <c r="A5" s="37" t="s">
        <v>228</v>
      </c>
      <c r="B5" s="62" t="n">
        <v>12.4</v>
      </c>
      <c r="C5" s="55" t="s">
        <v>229</v>
      </c>
      <c r="D5" s="55"/>
      <c r="E5" s="55"/>
    </row>
    <row r="6" customFormat="false" ht="18" hidden="false" customHeight="true" outlineLevel="0" collapsed="false">
      <c r="A6" s="37" t="s">
        <v>230</v>
      </c>
      <c r="B6" s="63" t="n">
        <v>1000</v>
      </c>
      <c r="C6" s="55" t="s">
        <v>231</v>
      </c>
      <c r="D6" s="55"/>
      <c r="E6" s="55"/>
    </row>
    <row r="7" customFormat="false" ht="18" hidden="false" customHeight="true" outlineLevel="0" collapsed="false">
      <c r="A7" s="13" t="s">
        <v>232</v>
      </c>
      <c r="B7" s="64" t="n">
        <f aca="false">B6/B5</f>
        <v>80.6451612903226</v>
      </c>
      <c r="C7" s="55" t="s">
        <v>233</v>
      </c>
      <c r="D7" s="55"/>
      <c r="E7" s="55"/>
    </row>
    <row r="8" customFormat="false" ht="18" hidden="false" customHeight="true" outlineLevel="0" collapsed="false">
      <c r="A8" s="37" t="s">
        <v>234</v>
      </c>
      <c r="B8" s="38" t="n">
        <v>0.03</v>
      </c>
      <c r="C8" s="55" t="s">
        <v>235</v>
      </c>
      <c r="D8" s="55"/>
      <c r="E8" s="55"/>
    </row>
    <row r="9" customFormat="false" ht="18" hidden="false" customHeight="true" outlineLevel="0" collapsed="false">
      <c r="A9" s="37" t="s">
        <v>236</v>
      </c>
      <c r="B9" s="65" t="n">
        <v>3</v>
      </c>
      <c r="C9" s="55" t="s">
        <v>237</v>
      </c>
      <c r="D9" s="55"/>
      <c r="E9" s="55"/>
    </row>
    <row r="11" customFormat="false" ht="18" hidden="false" customHeight="true" outlineLevel="0" collapsed="false">
      <c r="A11" s="4" t="s">
        <v>238</v>
      </c>
      <c r="B11" s="4"/>
      <c r="C11" s="4"/>
      <c r="D11" s="4"/>
      <c r="E11" s="4"/>
    </row>
    <row r="12" customFormat="false" ht="18" hidden="false" customHeight="true" outlineLevel="0" collapsed="false">
      <c r="A12" s="66" t="s">
        <v>239</v>
      </c>
      <c r="B12" s="67" t="s">
        <v>240</v>
      </c>
      <c r="C12" s="68" t="s">
        <v>241</v>
      </c>
      <c r="D12" s="69" t="s">
        <v>242</v>
      </c>
      <c r="E12" s="66" t="s">
        <v>163</v>
      </c>
    </row>
    <row r="13" customFormat="false" ht="36" hidden="false" customHeight="true" outlineLevel="0" collapsed="false">
      <c r="A13" s="37" t="s">
        <v>243</v>
      </c>
      <c r="B13" s="62" t="n">
        <v>12.4</v>
      </c>
      <c r="C13" s="62" t="n">
        <v>15.5</v>
      </c>
      <c r="D13" s="62" t="n">
        <v>17.5</v>
      </c>
      <c r="E13" s="70" t="s">
        <v>244</v>
      </c>
    </row>
    <row r="14" customFormat="false" ht="36" hidden="false" customHeight="true" outlineLevel="0" collapsed="false">
      <c r="A14" s="37" t="s">
        <v>245</v>
      </c>
      <c r="B14" s="38" t="n">
        <v>0.04</v>
      </c>
      <c r="C14" s="38" t="n">
        <v>0.06</v>
      </c>
      <c r="D14" s="38" t="n">
        <v>0.08</v>
      </c>
      <c r="E14" s="70" t="s">
        <v>246</v>
      </c>
    </row>
    <row r="16" customFormat="false" ht="18" hidden="false" customHeight="true" outlineLevel="0" collapsed="false">
      <c r="A16" s="71" t="s">
        <v>247</v>
      </c>
      <c r="B16" s="71"/>
      <c r="C16" s="71"/>
      <c r="D16" s="71"/>
      <c r="E16" s="71"/>
    </row>
    <row r="17" customFormat="false" ht="18" hidden="false" customHeight="true" outlineLevel="0" collapsed="false">
      <c r="A17" s="72" t="s">
        <v>248</v>
      </c>
      <c r="B17" s="73" t="n">
        <f aca="false">$B$7*(1+B14)^$B$9</f>
        <v>90.7148387096774</v>
      </c>
      <c r="C17" s="73" t="n">
        <f aca="false">$B$7*(1+C14)^$B$9</f>
        <v>96.0496774193548</v>
      </c>
      <c r="D17" s="73" t="n">
        <f aca="false">$B$7*(1+D14)^$B$9</f>
        <v>101.589677419355</v>
      </c>
      <c r="E17" s="74" t="s">
        <v>249</v>
      </c>
    </row>
    <row r="18" customFormat="false" ht="18" hidden="false" customHeight="true" outlineLevel="0" collapsed="false">
      <c r="A18" s="75" t="s">
        <v>250</v>
      </c>
      <c r="B18" s="76" t="n">
        <f aca="false">B17*B13</f>
        <v>1124.864</v>
      </c>
      <c r="C18" s="76" t="n">
        <f aca="false">C17*C13</f>
        <v>1488.77</v>
      </c>
      <c r="D18" s="76" t="n">
        <f aca="false">D17*D13</f>
        <v>1777.81935483871</v>
      </c>
      <c r="E18" s="74" t="s">
        <v>251</v>
      </c>
    </row>
    <row r="19" customFormat="false" ht="18" hidden="false" customHeight="true" outlineLevel="0" collapsed="false">
      <c r="A19" s="72" t="s">
        <v>252</v>
      </c>
      <c r="B19" s="39" t="n">
        <f aca="false">(B18-$B$6)/$B$6</f>
        <v>0.124864</v>
      </c>
      <c r="C19" s="39" t="n">
        <f aca="false">(C18-$B$6)/$B$6</f>
        <v>0.48877</v>
      </c>
      <c r="D19" s="39" t="n">
        <f aca="false">(D18-$B$6)/$B$6</f>
        <v>0.77781935483871</v>
      </c>
      <c r="E19" s="74" t="s">
        <v>253</v>
      </c>
    </row>
    <row r="20" customFormat="false" ht="18" hidden="false" customHeight="true" outlineLevel="0" collapsed="false">
      <c r="A20" s="75" t="s">
        <v>254</v>
      </c>
      <c r="B20" s="35" t="n">
        <f aca="false">$B$8*$B$9</f>
        <v>0.09</v>
      </c>
      <c r="C20" s="35" t="n">
        <f aca="false">$B$8*$B$9</f>
        <v>0.09</v>
      </c>
      <c r="D20" s="35" t="n">
        <f aca="false">$B$8*$B$9</f>
        <v>0.09</v>
      </c>
      <c r="E20" s="74" t="s">
        <v>255</v>
      </c>
    </row>
    <row r="21" customFormat="false" ht="21.75" hidden="false" customHeight="true" outlineLevel="0" collapsed="false">
      <c r="A21" s="77" t="s">
        <v>256</v>
      </c>
      <c r="B21" s="78" t="n">
        <f aca="false">B19+B20</f>
        <v>0.214864</v>
      </c>
      <c r="C21" s="78" t="n">
        <f aca="false">C19+C20</f>
        <v>0.57877</v>
      </c>
      <c r="D21" s="78" t="n">
        <f aca="false">D19+D20</f>
        <v>0.86781935483871</v>
      </c>
      <c r="E21" s="74" t="s">
        <v>257</v>
      </c>
    </row>
    <row r="22" customFormat="false" ht="18" hidden="false" customHeight="true" outlineLevel="0" collapsed="false">
      <c r="A22" s="75" t="s">
        <v>258</v>
      </c>
      <c r="B22" s="35" t="n">
        <f aca="false">(1+B21)^(1/$B$9)-1</f>
        <v>0.0670281760762823</v>
      </c>
      <c r="C22" s="35" t="n">
        <f aca="false">(1+C21)^(1/$B$9)-1</f>
        <v>0.164410970323832</v>
      </c>
      <c r="D22" s="35" t="n">
        <f aca="false">(1+D21)^(1/$B$9)-1</f>
        <v>0.231529890623278</v>
      </c>
      <c r="E22" s="74" t="s">
        <v>259</v>
      </c>
    </row>
    <row r="23" customFormat="false" ht="18" hidden="false" customHeight="true" outlineLevel="0" collapsed="false">
      <c r="A23" s="72" t="s">
        <v>260</v>
      </c>
      <c r="B23" s="79" t="n">
        <f aca="false">B13-$B$5</f>
        <v>0</v>
      </c>
      <c r="C23" s="79" t="n">
        <f aca="false">C13-$B$5</f>
        <v>3.1</v>
      </c>
      <c r="D23" s="79" t="n">
        <f aca="false">D13-$B$5</f>
        <v>5.1</v>
      </c>
      <c r="E23" s="74" t="s">
        <v>261</v>
      </c>
    </row>
    <row r="25" customFormat="false" ht="51.75" hidden="false" customHeight="true" outlineLevel="0" collapsed="false">
      <c r="A25" s="80" t="s">
        <v>262</v>
      </c>
      <c r="B25" s="80"/>
      <c r="C25" s="80"/>
      <c r="D25" s="80"/>
      <c r="E25" s="80"/>
    </row>
  </sheetData>
  <mergeCells count="11">
    <mergeCell ref="A1:E1"/>
    <mergeCell ref="A2:E2"/>
    <mergeCell ref="A4:E4"/>
    <mergeCell ref="C5:E5"/>
    <mergeCell ref="C6:E6"/>
    <mergeCell ref="C7:E7"/>
    <mergeCell ref="C8:E8"/>
    <mergeCell ref="C9:E9"/>
    <mergeCell ref="A11:E11"/>
    <mergeCell ref="A16:E16"/>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2026-03-26T21:14:14Z</dcterms:created>
  <dc:creator>openpyxl</dc:creator>
  <dc:description/>
  <dc:language>en-US</dc:language>
  <cp:lastModifiedBy/>
  <dcterms:modified xsi:type="dcterms:W3CDTF">2026-03-26T21:14:14Z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