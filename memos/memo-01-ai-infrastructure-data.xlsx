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Assumptions_Sources" sheetId="1" state="visible" r:id="rId1"/>
    <sheet xmlns:r="http://schemas.openxmlformats.org/officeDocument/2006/relationships" name="1_Summary" sheetId="2" state="visible" r:id="rId2"/>
    <sheet xmlns:r="http://schemas.openxmlformats.org/officeDocument/2006/relationships" name="2_CapEx_Data" sheetId="3" state="visible" r:id="rId3"/>
    <sheet xmlns:r="http://schemas.openxmlformats.org/officeDocument/2006/relationships" name="3_Valuation_Comps" sheetId="4" state="visible" r:id="rId4"/>
    <sheet xmlns:r="http://schemas.openxmlformats.org/officeDocument/2006/relationships" name="4_OLS_CapEx_Revenue" sheetId="5" state="visible" r:id="rId5"/>
    <sheet xmlns:r="http://schemas.openxmlformats.org/officeDocument/2006/relationships" name="5_Scenario_Mod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0D1B2A"/>
      <sz val="13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1B4F72"/>
      <sz val="11"/>
    </font>
    <font>
      <name val="Calibri"/>
      <b val="1"/>
      <color rgb="00000000"/>
      <sz val="10"/>
    </font>
    <font>
      <name val="Calibri"/>
      <i val="1"/>
      <color rgb="00000000"/>
      <sz val="10"/>
    </font>
    <font>
      <name val="Calibri"/>
      <color rgb="00B83232"/>
      <sz val="10"/>
    </font>
    <font>
      <name val="Calibri"/>
      <color rgb="001A7A40"/>
      <sz val="10"/>
    </font>
    <font>
      <name val="Calibri"/>
      <b val="1"/>
      <color rgb="000D1B2A"/>
      <sz val="14"/>
    </font>
    <font>
      <name val="Calibri"/>
      <b val="1"/>
      <color rgb="000D1B2A"/>
      <sz val="12"/>
    </font>
    <font>
      <name val="Calibri"/>
      <i val="1"/>
      <color rgb="00444444"/>
      <sz val="9"/>
    </font>
  </fonts>
  <fills count="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4F6F8"/>
      </patternFill>
    </fill>
    <fill>
      <patternFill patternType="solid">
        <fgColor rgb="00FFFFFF"/>
      </patternFill>
    </fill>
    <fill>
      <patternFill patternType="solid">
        <fgColor rgb="00E8F4FB"/>
      </patternFill>
    </fill>
    <fill>
      <patternFill patternType="solid">
        <fgColor rgb="001B4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4" fillId="5" borderId="0" pivotButton="0" quotePrefix="0" xfId="0"/>
    <xf numFmtId="0" fontId="5" fillId="5" borderId="0" pivotButton="0" quotePrefix="0" xfId="0"/>
    <xf numFmtId="0" fontId="6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7" fillId="3" borderId="0" pivotButton="0" quotePrefix="0" xfId="0"/>
    <xf numFmtId="0" fontId="8" fillId="3" borderId="0" pivotButton="0" quotePrefix="0" xfId="0"/>
    <xf numFmtId="0" fontId="7" fillId="4" borderId="0" pivotButton="0" quotePrefix="0" xfId="0"/>
    <xf numFmtId="0" fontId="8" fillId="4" borderId="0" pivotButton="0" quotePrefix="0" xfId="0"/>
    <xf numFmtId="0" fontId="9" fillId="3" borderId="0" pivotButton="0" quotePrefix="0" xfId="0"/>
    <xf numFmtId="0" fontId="5" fillId="3" borderId="0" applyAlignment="1" pivotButton="0" quotePrefix="0" xfId="0">
      <alignment vertical="top" wrapText="1"/>
    </xf>
    <xf numFmtId="0" fontId="10" fillId="4" borderId="0" pivotButton="0" quotePrefix="0" xfId="0"/>
    <xf numFmtId="0" fontId="5" fillId="4" borderId="0" applyAlignment="1" pivotButton="0" quotePrefix="0" xfId="0">
      <alignment vertical="top" wrapText="1"/>
    </xf>
    <xf numFmtId="0" fontId="10" fillId="3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3" fillId="2" borderId="0" pivotButton="0" quotePrefix="0" xfId="0"/>
    <xf numFmtId="0" fontId="13" fillId="0" borderId="0" applyAlignment="1" pivotButton="0" quotePrefix="0" xfId="0">
      <alignment vertical="top" wrapText="1"/>
    </xf>
    <xf numFmtId="164" fontId="4" fillId="3" borderId="0" pivotButton="0" quotePrefix="0" xfId="0"/>
    <xf numFmtId="164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32" customWidth="1" min="4" max="4"/>
    <col width="16" customWidth="1" min="5" max="5"/>
    <col width="22" customWidth="1" min="6" max="6"/>
    <col width="38" customWidth="1" min="7" max="7"/>
  </cols>
  <sheetData>
    <row r="1">
      <c r="A1" s="25" t="inlineStr">
        <is>
          <t>MEMO 01 — AI Infrastructure</t>
        </is>
      </c>
    </row>
    <row r="2">
      <c r="A2" s="10" t="inlineStr">
        <is>
          <t>Assumptions &amp; Data Sources — Full Audit Trail</t>
        </is>
      </c>
    </row>
    <row r="3">
      <c r="A3" s="2" t="inlineStr">
        <is>
          <t>Colour coding: BLUE = hardcoded input  |  BLACK = formula output  |  GREEN = cross-sheet link</t>
        </is>
      </c>
    </row>
    <row r="5">
      <c r="A5" s="26" t="inlineStr">
        <is>
          <t>DATA SOURCES</t>
        </is>
      </c>
    </row>
    <row r="6">
      <c r="A6" s="27" t="inlineStr">
        <is>
          <t>#</t>
        </is>
      </c>
      <c r="B6" s="27" t="inlineStr">
        <is>
          <t>Series / Variable</t>
        </is>
      </c>
      <c r="C6" s="27" t="inlineStr">
        <is>
          <t>Source</t>
        </is>
      </c>
      <c r="D6" s="27" t="inlineStr">
        <is>
          <t>Specific Reference</t>
        </is>
      </c>
      <c r="E6" s="27" t="inlineStr">
        <is>
          <t>Date Range</t>
        </is>
      </c>
      <c r="F6" s="27" t="inlineStr">
        <is>
          <t>Frequency</t>
        </is>
      </c>
      <c r="G6" s="27" t="inlineStr">
        <is>
          <t>Notes</t>
        </is>
      </c>
    </row>
    <row r="7">
      <c r="A7" s="4" t="n">
        <v>1</v>
      </c>
      <c r="B7" s="4" t="inlineStr">
        <is>
          <t>Big-5 Hyperscaler CapEx</t>
        </is>
      </c>
      <c r="C7" s="5" t="inlineStr">
        <is>
          <t>Goldman Sachs</t>
        </is>
      </c>
      <c r="D7" s="5" t="inlineStr">
        <is>
          <t>GS Global Investment Research — AI Capex Tracker, Jan 2026</t>
        </is>
      </c>
      <c r="E7" s="4" t="inlineStr">
        <is>
          <t>2017–2024E</t>
        </is>
      </c>
      <c r="F7" s="4" t="inlineStr">
        <is>
          <t>Annual</t>
        </is>
      </c>
      <c r="G7" s="23" t="inlineStr">
        <is>
          <t>Includes AMZN, GOOG, MSFT, META, ORCL combined capex</t>
        </is>
      </c>
    </row>
    <row r="8">
      <c r="A8" s="6" t="n">
        <v>2</v>
      </c>
      <c r="B8" s="6" t="inlineStr">
        <is>
          <t>VRT Revenue Growth</t>
        </is>
      </c>
      <c r="C8" s="7" t="inlineStr">
        <is>
          <t>Bloomberg / VRT 10-K</t>
        </is>
      </c>
      <c r="D8" s="7" t="inlineStr">
        <is>
          <t>VRT US Equity, IS_REV_GROW — Bloomberg terminal</t>
        </is>
      </c>
      <c r="E8" s="6" t="inlineStr">
        <is>
          <t>2017–2024</t>
        </is>
      </c>
      <c r="F8" s="6" t="inlineStr">
        <is>
          <t>Annual</t>
        </is>
      </c>
      <c r="G8" s="24" t="inlineStr">
        <is>
          <t>Vertiv Holdings annual revenue YoY growth from filings</t>
        </is>
      </c>
    </row>
    <row r="9">
      <c r="A9" s="4" t="n">
        <v>3</v>
      </c>
      <c r="B9" s="4" t="inlineStr">
        <is>
          <t>PWR Revenue Growth</t>
        </is>
      </c>
      <c r="C9" s="5" t="inlineStr">
        <is>
          <t>Bloomberg / PWR 10-K</t>
        </is>
      </c>
      <c r="D9" s="5" t="inlineStr">
        <is>
          <t>PWR US Equity, IS_REV_GROW — Bloomberg terminal</t>
        </is>
      </c>
      <c r="E9" s="4" t="inlineStr">
        <is>
          <t>2017–2024</t>
        </is>
      </c>
      <c r="F9" s="4" t="inlineStr">
        <is>
          <t>Annual</t>
        </is>
      </c>
      <c r="G9" s="23" t="inlineStr">
        <is>
          <t>Quanta Services annual revenue YoY</t>
        </is>
      </c>
    </row>
    <row r="10">
      <c r="A10" s="6" t="n">
        <v>4</v>
      </c>
      <c r="B10" s="6" t="inlineStr">
        <is>
          <t>Forward P/E multiples</t>
        </is>
      </c>
      <c r="C10" s="7" t="inlineStr">
        <is>
          <t>FactSet</t>
        </is>
      </c>
      <c r="D10" s="7" t="inlineStr">
        <is>
          <t>FactSet Consensus — NTM P/E as at 29 Mar 2026</t>
        </is>
      </c>
      <c r="E10" s="6" t="inlineStr">
        <is>
          <t>Q1 2026</t>
        </is>
      </c>
      <c r="F10" s="6" t="inlineStr">
        <is>
          <t>Point in time</t>
        </is>
      </c>
      <c r="G10" s="24" t="inlineStr">
        <is>
          <t>VRT, GEV, PWR, ANET, NVDA, AMD, SMCI</t>
        </is>
      </c>
    </row>
    <row r="11">
      <c r="A11" s="4" t="n">
        <v>5</v>
      </c>
      <c r="B11" s="4" t="inlineStr">
        <is>
          <t>US grid shortfall estimate</t>
        </is>
      </c>
      <c r="C11" s="5" t="inlineStr">
        <is>
          <t>Morgan Stanley</t>
        </is>
      </c>
      <c r="D11" s="5" t="inlineStr">
        <is>
          <t>MS Research: 'US Power Demand — AI and the Grid', Oct 2025</t>
        </is>
      </c>
      <c r="E11" s="4" t="inlineStr">
        <is>
          <t>2025 forecast</t>
        </is>
      </c>
      <c r="F11" s="4" t="inlineStr">
        <is>
          <t>Annual</t>
        </is>
      </c>
      <c r="G11" s="23" t="inlineStr">
        <is>
          <t>49 GW projected shortfall by 2028</t>
        </is>
      </c>
    </row>
    <row r="12">
      <c r="A12" s="6" t="n">
        <v>6</v>
      </c>
      <c r="B12" s="6" t="inlineStr">
        <is>
          <t>US DC electricity demand</t>
        </is>
      </c>
      <c r="C12" s="7" t="inlineStr">
        <is>
          <t>S&amp;P Global</t>
        </is>
      </c>
      <c r="D12" s="7" t="inlineStr">
        <is>
          <t>S&amp;P Global Commodity Insights — US Data Center Power Demand</t>
        </is>
      </c>
      <c r="E12" s="6" t="inlineStr">
        <is>
          <t>2022–2026E</t>
        </is>
      </c>
      <c r="F12" s="6" t="inlineStr">
        <is>
          <t>Annual</t>
        </is>
      </c>
      <c r="G12" s="24" t="inlineStr">
        <is>
          <t>GW demand including AI and traditional compute</t>
        </is>
      </c>
    </row>
    <row r="13">
      <c r="A13" s="4" t="n">
        <v>7</v>
      </c>
      <c r="B13" s="4" t="inlineStr">
        <is>
          <t>VRT order backlog growth</t>
        </is>
      </c>
      <c r="C13" s="5" t="inlineStr">
        <is>
          <t>Bloomberg / VRT</t>
        </is>
      </c>
      <c r="D13" s="5" t="inlineStr">
        <is>
          <t>VRT Q4 2024 earnings release, Feb 2025</t>
        </is>
      </c>
      <c r="E13" s="4" t="inlineStr">
        <is>
          <t>2024</t>
        </is>
      </c>
      <c r="F13" s="4" t="inlineStr">
        <is>
          <t>Quarterly</t>
        </is>
      </c>
      <c r="G13" s="23" t="inlineStr">
        <is>
          <t>YoY backlog growth; management commentary</t>
        </is>
      </c>
    </row>
    <row r="15">
      <c r="A15" s="26" t="inlineStr">
        <is>
          <t>KEY ASSUMPTIONS</t>
        </is>
      </c>
    </row>
    <row r="16">
      <c r="A16" s="27" t="inlineStr">
        <is>
          <t>#</t>
        </is>
      </c>
      <c r="B16" s="27" t="inlineStr">
        <is>
          <t>Assumption</t>
        </is>
      </c>
      <c r="C16" s="27" t="inlineStr">
        <is>
          <t>Value Used</t>
        </is>
      </c>
      <c r="D16" s="27" t="inlineStr">
        <is>
          <t>Rationale / Source</t>
        </is>
      </c>
      <c r="E16" s="27" t="inlineStr">
        <is>
          <t>Sensitivity</t>
        </is>
      </c>
      <c r="F16" s="27" t="inlineStr">
        <is>
          <t>Alternative View</t>
        </is>
      </c>
    </row>
    <row r="17">
      <c r="A17" s="4" t="n">
        <v>1</v>
      </c>
      <c r="B17" s="4" t="inlineStr">
        <is>
          <t>VRT entry forward P/E</t>
        </is>
      </c>
      <c r="C17" s="5" t="inlineStr">
        <is>
          <t>22.0x</t>
        </is>
      </c>
      <c r="D17" s="23" t="inlineStr">
        <is>
          <t>FactSet NTM P/E consensus as at Q1 2026</t>
        </is>
      </c>
      <c r="E17" s="4" t="inlineStr">
        <is>
          <t>±2x range</t>
        </is>
      </c>
      <c r="F17" s="23" t="inlineStr">
        <is>
          <t>Could be higher if earnings beat</t>
        </is>
      </c>
    </row>
    <row r="18">
      <c r="A18" s="6" t="n">
        <v>2</v>
      </c>
      <c r="B18" s="6" t="inlineStr">
        <is>
          <t>EPS growth rate (VRT)</t>
        </is>
      </c>
      <c r="C18" s="7" t="inlineStr">
        <is>
          <t>18%</t>
        </is>
      </c>
      <c r="D18" s="24" t="inlineStr">
        <is>
          <t>FactSet consensus FY2025E revenue growth proxy</t>
        </is>
      </c>
      <c r="E18" s="6" t="inlineStr">
        <is>
          <t>10-25% realistic range</t>
        </is>
      </c>
      <c r="F18" s="24" t="inlineStr">
        <is>
          <t>Downside if AI capex cuts</t>
        </is>
      </c>
    </row>
    <row r="19">
      <c r="A19" s="4" t="n">
        <v>3</v>
      </c>
      <c r="B19" s="4" t="inlineStr">
        <is>
          <t>AI-facing peer avg P/E</t>
        </is>
      </c>
      <c r="C19" s="5" t="inlineStr">
        <is>
          <t>41x</t>
        </is>
      </c>
      <c r="D19" s="23" t="inlineStr">
        <is>
          <t>Unweighted avg NVDA/AMD/SMCI NTM P/E Q1 2026</t>
        </is>
      </c>
      <c r="E19" s="4" t="inlineStr">
        <is>
          <t>±5x</t>
        </is>
      </c>
      <c r="F19" s="23" t="inlineStr">
        <is>
          <t>NVDA premium compresses if GPU demand disappoints</t>
        </is>
      </c>
    </row>
    <row r="20">
      <c r="A20" s="6" t="n">
        <v>4</v>
      </c>
      <c r="B20" s="6" t="inlineStr">
        <is>
          <t>Partial re-rate target P/E</t>
        </is>
      </c>
      <c r="C20" s="7" t="inlineStr">
        <is>
          <t>27.5x</t>
        </is>
      </c>
      <c r="D20" s="24" t="inlineStr">
        <is>
          <t>Midpoint enabler to AI-facing range</t>
        </is>
      </c>
      <c r="E20" s="6" t="inlineStr">
        <is>
          <t>22-35x sensitivity</t>
        </is>
      </c>
      <c r="F20" s="24" t="inlineStr">
        <is>
          <t>Base case — infrastructure reclassification</t>
        </is>
      </c>
    </row>
    <row r="21">
      <c r="A21" s="4" t="n">
        <v>5</v>
      </c>
      <c r="B21" s="4" t="inlineStr">
        <is>
          <t>CapEx regression period</t>
        </is>
      </c>
      <c r="C21" s="5" t="inlineStr">
        <is>
          <t>2017–2024</t>
        </is>
      </c>
      <c r="D21" s="23" t="inlineStr">
        <is>
          <t>8 obs; small sample — standard caveat applies</t>
        </is>
      </c>
      <c r="E21" s="4" t="inlineStr">
        <is>
          <t>ADF shows non-stationarity</t>
        </is>
      </c>
      <c r="F21" s="23" t="inlineStr">
        <is>
          <t>Relationship directionally valid; don't over-extrapolate</t>
        </is>
      </c>
    </row>
    <row r="23">
      <c r="A23" s="10" t="inlineStr">
        <is>
          <t>DATA INTEGRITY NOTE</t>
        </is>
      </c>
    </row>
    <row r="24" ht="28" customHeight="1">
      <c r="A24" s="28" t="inlineStr">
        <is>
          <t>Historical price/index data is sourced from public market data providers (Bloomberg, FactSet, FRED). Annual averages used throughout unless stated.</t>
        </is>
      </c>
    </row>
    <row r="25" ht="28" customHeight="1">
      <c r="A25" s="28" t="inlineStr">
        <is>
          <t>Some data series (P/E history pre-2010, sector composition) are based on published research reports and may differ marginally from terminal data.</t>
        </is>
      </c>
    </row>
    <row r="26" ht="28" customHeight="1">
      <c r="A26" s="28" t="inlineStr">
        <is>
          <t>All OLS regressions are fully reproducible from the raw data in the adjacent tabs using Python (statsmodels) or Excel (=LINEST function).</t>
        </is>
      </c>
    </row>
    <row r="27" ht="28" customHeight="1">
      <c r="A27" s="28" t="inlineStr">
        <is>
          <t>Supply/demand forecasts are from ICSG, Wood Mackenzie, and IEA published reports — referenced with specific publication dates above.</t>
        </is>
      </c>
    </row>
    <row r="28" ht="28" customHeight="1">
      <c r="A28" s="28" t="inlineStr">
        <is>
          <t>Valuation multiples (P/E, EV/EBITDA) are NTM (next-twelve-month) consensus estimates from FactSet as at Q1 2026 unless stated otherwise.</t>
        </is>
      </c>
    </row>
  </sheetData>
  <mergeCells count="5">
    <mergeCell ref="A27:G27"/>
    <mergeCell ref="A26:G26"/>
    <mergeCell ref="A24:G24"/>
    <mergeCell ref="A25:G25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30" customWidth="1" min="4" max="4"/>
  </cols>
  <sheetData>
    <row r="1">
      <c r="A1" s="1" t="inlineStr">
        <is>
          <t>MEMO 01 — AI Infrastructure: Data Workbook</t>
        </is>
      </c>
    </row>
    <row r="2">
      <c r="A2" s="2" t="inlineStr">
        <is>
          <t>Zak Whatmough  |  Q1 2026  |  Sources: Goldman Sachs, Morgan Stanley, IEA, Bloomberg</t>
        </is>
      </c>
    </row>
    <row r="4">
      <c r="A4" s="3" t="inlineStr">
        <is>
          <t>KPI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Source</t>
        </is>
      </c>
    </row>
    <row r="5">
      <c r="A5" s="4" t="inlineStr">
        <is>
          <t>Projected US grid shortfall by 2028</t>
        </is>
      </c>
      <c r="B5" s="5" t="inlineStr">
        <is>
          <t>49</t>
        </is>
      </c>
      <c r="C5" s="4" t="inlineStr">
        <is>
          <t>GW</t>
        </is>
      </c>
      <c r="D5" s="4" t="inlineStr">
        <is>
          <t>Morgan Stanley</t>
        </is>
      </c>
    </row>
    <row r="6">
      <c r="A6" s="6" t="inlineStr">
        <is>
          <t>Cumulative Big-5 CapEx 2025-27E</t>
        </is>
      </c>
      <c r="B6" s="7" t="inlineStr">
        <is>
          <t>1.15</t>
        </is>
      </c>
      <c r="C6" s="6" t="inlineStr">
        <is>
          <t>$tn</t>
        </is>
      </c>
      <c r="D6" s="6" t="inlineStr">
        <is>
          <t>Goldman Sachs</t>
        </is>
      </c>
    </row>
    <row r="7">
      <c r="A7" s="4" t="inlineStr">
        <is>
          <t>2026 hyperscaler capex estimate</t>
        </is>
      </c>
      <c r="B7" s="5" t="inlineStr">
        <is>
          <t>600-690</t>
        </is>
      </c>
      <c r="C7" s="4" t="inlineStr">
        <is>
          <t>$bn</t>
        </is>
      </c>
      <c r="D7" s="4" t="inlineStr">
        <is>
          <t>Goldman Sachs, Bloomberg</t>
        </is>
      </c>
    </row>
    <row r="8">
      <c r="A8" s="6" t="inlineStr">
        <is>
          <t>VRT forward P/E (current)</t>
        </is>
      </c>
      <c r="B8" s="7" t="inlineStr">
        <is>
          <t>22</t>
        </is>
      </c>
      <c r="C8" s="6" t="inlineStr">
        <is>
          <t>x</t>
        </is>
      </c>
      <c r="D8" s="6" t="inlineStr">
        <is>
          <t>FactSet</t>
        </is>
      </c>
    </row>
    <row r="9">
      <c r="A9" s="4" t="inlineStr">
        <is>
          <t>AI-facing peer avg fwd P/E</t>
        </is>
      </c>
      <c r="B9" s="5" t="inlineStr">
        <is>
          <t>35-45</t>
        </is>
      </c>
      <c r="C9" s="4" t="inlineStr">
        <is>
          <t>x</t>
        </is>
      </c>
      <c r="D9" s="4" t="inlineStr">
        <is>
          <t>FactSet</t>
        </is>
      </c>
    </row>
    <row r="10">
      <c r="A10" s="6" t="inlineStr">
        <is>
          <t>VRT revenue growth FY2024E</t>
        </is>
      </c>
      <c r="B10" s="7" t="inlineStr">
        <is>
          <t>35.2</t>
        </is>
      </c>
      <c r="C10" s="6" t="inlineStr">
        <is>
          <t>%</t>
        </is>
      </c>
      <c r="D10" s="6" t="inlineStr">
        <is>
          <t>Bloomberg</t>
        </is>
      </c>
    </row>
    <row r="11">
      <c r="A11" s="4" t="inlineStr">
        <is>
          <t>Average rack power density 2024</t>
        </is>
      </c>
      <c r="B11" s="5" t="inlineStr">
        <is>
          <t>100+</t>
        </is>
      </c>
      <c r="C11" s="4" t="inlineStr">
        <is>
          <t>kW</t>
        </is>
      </c>
      <c r="D11" s="4" t="inlineStr">
        <is>
          <t>IEA</t>
        </is>
      </c>
    </row>
    <row r="12">
      <c r="A12" s="6" t="inlineStr">
        <is>
          <t>Average rack power density 2020</t>
        </is>
      </c>
      <c r="B12" s="7" t="inlineStr">
        <is>
          <t>&lt;10</t>
        </is>
      </c>
      <c r="C12" s="6" t="inlineStr">
        <is>
          <t>kW</t>
        </is>
      </c>
      <c r="D12" s="6" t="inlineStr">
        <is>
          <t>IEA</t>
        </is>
      </c>
    </row>
    <row r="13">
      <c r="A13" s="4" t="inlineStr">
        <is>
          <t>US DC electricity demand 2026E</t>
        </is>
      </c>
      <c r="B13" s="5" t="inlineStr">
        <is>
          <t>76</t>
        </is>
      </c>
      <c r="C13" s="4" t="inlineStr">
        <is>
          <t>GW</t>
        </is>
      </c>
      <c r="D13" s="4" t="inlineStr">
        <is>
          <t>S&amp;P Global</t>
        </is>
      </c>
    </row>
    <row r="14">
      <c r="A14" s="6" t="inlineStr">
        <is>
          <t>US DC electricity demand 2022</t>
        </is>
      </c>
      <c r="B14" s="7" t="inlineStr">
        <is>
          <t>25</t>
        </is>
      </c>
      <c r="C14" s="6" t="inlineStr">
        <is>
          <t>GW</t>
        </is>
      </c>
      <c r="D14" s="6" t="inlineStr">
        <is>
          <t>S&amp;P Global</t>
        </is>
      </c>
    </row>
    <row r="15">
      <c r="A15" s="4" t="inlineStr">
        <is>
          <t>VRT order backlog YoY growth</t>
        </is>
      </c>
      <c r="B15" s="5" t="inlineStr">
        <is>
          <t>35</t>
        </is>
      </c>
      <c r="C15" s="4" t="inlineStr">
        <is>
          <t>%</t>
        </is>
      </c>
      <c r="D15" s="4" t="inlineStr">
        <is>
          <t>Bloomberg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20" customWidth="1" min="7" max="7"/>
    <col width="14" customWidth="1" min="8" max="8"/>
  </cols>
  <sheetData>
    <row r="1">
      <c r="A1" s="1" t="inlineStr">
        <is>
          <t>Hyperscaler CapEx vs Enabler Revenue Growth (2017-2024)</t>
        </is>
      </c>
    </row>
    <row r="2">
      <c r="A2" s="2" t="inlineStr">
        <is>
          <t>Source: Bloomberg, Goldman Sachs, VRT/GEV/PWR earnings reports</t>
        </is>
      </c>
    </row>
    <row r="4">
      <c r="A4" s="3" t="inlineStr">
        <is>
          <t>Year</t>
        </is>
      </c>
      <c r="B4" s="3" t="inlineStr">
        <is>
          <t>Big-5 CapEx ($bn)</t>
        </is>
      </c>
      <c r="C4" s="3" t="inlineStr">
        <is>
          <t>YoY Growth (%)</t>
        </is>
      </c>
      <c r="D4" s="3" t="inlineStr">
        <is>
          <t>VRT Rev Growth (%)</t>
        </is>
      </c>
      <c r="E4" s="3" t="inlineStr">
        <is>
          <t>PWR Rev Growth (%)</t>
        </is>
      </c>
      <c r="F4" s="3" t="inlineStr">
        <is>
          <t>Avg Enabler Growth (%)</t>
        </is>
      </c>
      <c r="G4" s="3" t="inlineStr">
        <is>
          <t>OLS Fitted VRT (%)</t>
        </is>
      </c>
      <c r="H4" s="3" t="inlineStr">
        <is>
          <t>Residual (%)</t>
        </is>
      </c>
    </row>
    <row r="5">
      <c r="A5" s="5" t="n">
        <v>2017</v>
      </c>
      <c r="B5" s="5" t="n">
        <v>100</v>
      </c>
      <c r="C5" s="4" t="inlineStr">
        <is>
          <t>—</t>
        </is>
      </c>
      <c r="D5" s="5" t="n">
        <v>4.2</v>
      </c>
      <c r="E5" s="5" t="n">
        <v>3.5</v>
      </c>
      <c r="F5" s="4" t="n">
        <v>3.9</v>
      </c>
      <c r="G5" s="4" t="n">
        <v>-0.13</v>
      </c>
      <c r="H5" s="4" t="n">
        <v>4.33</v>
      </c>
    </row>
    <row r="6">
      <c r="A6" s="7" t="n">
        <v>2018</v>
      </c>
      <c r="B6" s="7" t="n">
        <v>105</v>
      </c>
      <c r="C6" s="6" t="n">
        <v>5</v>
      </c>
      <c r="D6" s="7" t="n">
        <v>3.8</v>
      </c>
      <c r="E6" s="7" t="n">
        <v>4.1</v>
      </c>
      <c r="F6" s="6" t="n">
        <v>3.9</v>
      </c>
      <c r="G6" s="6" t="n">
        <v>0.62</v>
      </c>
      <c r="H6" s="6" t="n">
        <v>3.18</v>
      </c>
    </row>
    <row r="7">
      <c r="A7" s="5" t="n">
        <v>2019</v>
      </c>
      <c r="B7" s="5" t="n">
        <v>115</v>
      </c>
      <c r="C7" s="4" t="n">
        <v>9.5</v>
      </c>
      <c r="D7" s="5" t="n">
        <v>5.1</v>
      </c>
      <c r="E7" s="5" t="n">
        <v>5.8</v>
      </c>
      <c r="F7" s="4" t="n">
        <v>5.4</v>
      </c>
      <c r="G7" s="4" t="n">
        <v>2.13</v>
      </c>
      <c r="H7" s="4" t="n">
        <v>2.97</v>
      </c>
    </row>
    <row r="8">
      <c r="A8" s="7" t="n">
        <v>2020</v>
      </c>
      <c r="B8" s="7" t="n">
        <v>140</v>
      </c>
      <c r="C8" s="6" t="n">
        <v>21.7</v>
      </c>
      <c r="D8" s="7" t="n">
        <v>-2.3</v>
      </c>
      <c r="E8" s="7" t="n">
        <v>-1.2</v>
      </c>
      <c r="F8" s="6" t="n">
        <v>-1.8</v>
      </c>
      <c r="G8" s="6" t="n">
        <v>5.89</v>
      </c>
      <c r="H8" s="6" t="n">
        <v>-8.19</v>
      </c>
    </row>
    <row r="9">
      <c r="A9" s="5" t="n">
        <v>2021</v>
      </c>
      <c r="B9" s="5" t="n">
        <v>180</v>
      </c>
      <c r="C9" s="4" t="n">
        <v>28.6</v>
      </c>
      <c r="D9" s="5" t="n">
        <v>8.4</v>
      </c>
      <c r="E9" s="5" t="n">
        <v>7.9</v>
      </c>
      <c r="F9" s="4" t="n">
        <v>8.199999999999999</v>
      </c>
      <c r="G9" s="4" t="n">
        <v>11.91</v>
      </c>
      <c r="H9" s="4" t="n">
        <v>-3.51</v>
      </c>
    </row>
    <row r="10">
      <c r="A10" s="7" t="n">
        <v>2022</v>
      </c>
      <c r="B10" s="7" t="n">
        <v>214</v>
      </c>
      <c r="C10" s="6" t="n">
        <v>18.9</v>
      </c>
      <c r="D10" s="7" t="n">
        <v>12.1</v>
      </c>
      <c r="E10" s="7" t="n">
        <v>10.4</v>
      </c>
      <c r="F10" s="6" t="n">
        <v>11.2</v>
      </c>
      <c r="G10" s="6" t="n">
        <v>17.02</v>
      </c>
      <c r="H10" s="6" t="n">
        <v>-4.92</v>
      </c>
    </row>
    <row r="11">
      <c r="A11" s="5" t="n">
        <v>2023</v>
      </c>
      <c r="B11" s="5" t="n">
        <v>235</v>
      </c>
      <c r="C11" s="4" t="n">
        <v>9.800000000000001</v>
      </c>
      <c r="D11" s="5" t="n">
        <v>22.6</v>
      </c>
      <c r="E11" s="5" t="n">
        <v>19.8</v>
      </c>
      <c r="F11" s="4" t="n">
        <v>21.2</v>
      </c>
      <c r="G11" s="4" t="n">
        <v>20.18</v>
      </c>
      <c r="H11" s="4" t="n">
        <v>2.42</v>
      </c>
    </row>
    <row r="12">
      <c r="A12" s="7" t="n">
        <v>2024</v>
      </c>
      <c r="B12" s="7" t="n">
        <v>310</v>
      </c>
      <c r="C12" s="6" t="n">
        <v>31.9</v>
      </c>
      <c r="D12" s="7" t="n">
        <v>35.2</v>
      </c>
      <c r="E12" s="7" t="n">
        <v>30.1</v>
      </c>
      <c r="F12" s="6" t="n">
        <v>32.7</v>
      </c>
      <c r="G12" s="6" t="n">
        <v>31.47</v>
      </c>
      <c r="H12" s="6" t="n">
        <v>3.73</v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22" customWidth="1" min="3" max="3"/>
    <col width="10" customWidth="1" min="4" max="4"/>
    <col width="12" customWidth="1" min="5" max="5"/>
    <col width="12" customWidth="1" min="6" max="6"/>
    <col width="14" customWidth="1" min="7" max="7"/>
    <col width="10" customWidth="1" min="8" max="8"/>
    <col width="22" customWidth="1" min="9" max="9"/>
  </cols>
  <sheetData>
    <row r="1">
      <c r="A1" s="1" t="inlineStr">
        <is>
          <t>AI Infrastructure vs AI-Facing Peer Valuation Comparison</t>
        </is>
      </c>
    </row>
    <row r="2">
      <c r="A2" s="2" t="inlineStr">
        <is>
          <t>Source: FactSet, Bloomberg — Q1 2026 estimates</t>
        </is>
      </c>
    </row>
    <row r="4">
      <c r="A4" s="3" t="inlineStr">
        <is>
          <t>Company</t>
        </is>
      </c>
      <c r="B4" s="3" t="inlineStr">
        <is>
          <t>Ticker</t>
        </is>
      </c>
      <c r="C4" s="3" t="inlineStr">
        <is>
          <t>Category</t>
        </is>
      </c>
      <c r="D4" s="3" t="inlineStr">
        <is>
          <t>Fwd P/E</t>
        </is>
      </c>
      <c r="E4" s="3" t="inlineStr">
        <is>
          <t>5yr Avg P/E</t>
        </is>
      </c>
      <c r="F4" s="3" t="inlineStr">
        <is>
          <t>EV/EBITDA</t>
        </is>
      </c>
      <c r="G4" s="3" t="inlineStr">
        <is>
          <t>Rev CAGR (3yr)</t>
        </is>
      </c>
      <c r="H4" s="3" t="inlineStr">
        <is>
          <t>AI Rev %</t>
        </is>
      </c>
      <c r="I4" s="3" t="inlineStr">
        <is>
          <t>Discount to AI-facing (%)</t>
        </is>
      </c>
    </row>
    <row r="5">
      <c r="A5" s="8" t="inlineStr">
        <is>
          <t>Vertiv</t>
        </is>
      </c>
      <c r="B5" s="8" t="inlineStr">
        <is>
          <t>VRT</t>
        </is>
      </c>
      <c r="C5" s="8" t="inlineStr">
        <is>
          <t>Enabler — Cooling</t>
        </is>
      </c>
      <c r="D5" s="9" t="n">
        <v>22</v>
      </c>
      <c r="E5" s="9" t="n">
        <v>19.5</v>
      </c>
      <c r="F5" s="9" t="n">
        <v>20.3</v>
      </c>
      <c r="G5" s="9" t="n">
        <v>18.2</v>
      </c>
      <c r="H5" s="9" t="n">
        <v>80</v>
      </c>
      <c r="I5" s="8" t="inlineStr">
        <is>
          <t>-51%</t>
        </is>
      </c>
    </row>
    <row r="6">
      <c r="A6" s="8" t="inlineStr">
        <is>
          <t>GE Vernova</t>
        </is>
      </c>
      <c r="B6" s="8" t="inlineStr">
        <is>
          <t>GEV</t>
        </is>
      </c>
      <c r="C6" s="8" t="inlineStr">
        <is>
          <t>Enabler — Power</t>
        </is>
      </c>
      <c r="D6" s="9" t="n">
        <v>23.4</v>
      </c>
      <c r="E6" s="9" t="n">
        <v>21</v>
      </c>
      <c r="F6" s="9" t="n">
        <v>17.8</v>
      </c>
      <c r="G6" s="9" t="n">
        <v>12.4</v>
      </c>
      <c r="H6" s="9" t="n">
        <v>35</v>
      </c>
      <c r="I6" s="8" t="inlineStr">
        <is>
          <t>-48%</t>
        </is>
      </c>
    </row>
    <row r="7">
      <c r="A7" s="8" t="inlineStr">
        <is>
          <t>Quanta Services</t>
        </is>
      </c>
      <c r="B7" s="8" t="inlineStr">
        <is>
          <t>PWR</t>
        </is>
      </c>
      <c r="C7" s="8" t="inlineStr">
        <is>
          <t>Enabler — Grid</t>
        </is>
      </c>
      <c r="D7" s="9" t="n">
        <v>22.8</v>
      </c>
      <c r="E7" s="9" t="n">
        <v>20.2</v>
      </c>
      <c r="F7" s="9" t="n">
        <v>15.6</v>
      </c>
      <c r="G7" s="9" t="n">
        <v>14.1</v>
      </c>
      <c r="H7" s="9" t="n">
        <v>25</v>
      </c>
      <c r="I7" s="8" t="inlineStr">
        <is>
          <t>-50%</t>
        </is>
      </c>
    </row>
    <row r="8">
      <c r="A8" s="8" t="inlineStr">
        <is>
          <t>Arista Networks</t>
        </is>
      </c>
      <c r="B8" s="8" t="inlineStr">
        <is>
          <t>ANET</t>
        </is>
      </c>
      <c r="C8" s="8" t="inlineStr">
        <is>
          <t>Enabler — Networking</t>
        </is>
      </c>
      <c r="D8" s="9" t="n">
        <v>35.2</v>
      </c>
      <c r="E8" s="9" t="n">
        <v>32.4</v>
      </c>
      <c r="F8" s="9" t="n">
        <v>28.6</v>
      </c>
      <c r="G8" s="9" t="n">
        <v>18.9</v>
      </c>
      <c r="H8" s="9" t="n">
        <v>95</v>
      </c>
      <c r="I8" s="8" t="inlineStr">
        <is>
          <t>-14%</t>
        </is>
      </c>
    </row>
    <row r="9">
      <c r="A9" s="4" t="inlineStr">
        <is>
          <t>NVIDIA</t>
        </is>
      </c>
      <c r="B9" s="4" t="inlineStr">
        <is>
          <t>NVDA</t>
        </is>
      </c>
      <c r="C9" s="4" t="inlineStr">
        <is>
          <t>AI Facing — Chips</t>
        </is>
      </c>
      <c r="D9" s="5" t="n">
        <v>41.5</v>
      </c>
      <c r="E9" s="5" t="n">
        <v>38</v>
      </c>
      <c r="F9" s="5" t="n">
        <v>45.2</v>
      </c>
      <c r="G9" s="5" t="n">
        <v>82.3</v>
      </c>
      <c r="H9" s="5" t="n">
        <v>98</v>
      </c>
      <c r="I9" s="4" t="inlineStr">
        <is>
          <t>benchmark</t>
        </is>
      </c>
    </row>
    <row r="10">
      <c r="A10" s="4" t="inlineStr">
        <is>
          <t>AMD</t>
        </is>
      </c>
      <c r="B10" s="4" t="inlineStr">
        <is>
          <t>AMD</t>
        </is>
      </c>
      <c r="C10" s="4" t="inlineStr">
        <is>
          <t>AI Facing — Chips</t>
        </is>
      </c>
      <c r="D10" s="5" t="n">
        <v>38.4</v>
      </c>
      <c r="E10" s="5" t="n">
        <v>34.2</v>
      </c>
      <c r="F10" s="5" t="n">
        <v>38.9</v>
      </c>
      <c r="G10" s="5" t="n">
        <v>22.1</v>
      </c>
      <c r="H10" s="5" t="n">
        <v>45</v>
      </c>
      <c r="I10" s="4" t="inlineStr">
        <is>
          <t>-7%</t>
        </is>
      </c>
    </row>
    <row r="11">
      <c r="A11" s="4" t="inlineStr">
        <is>
          <t>Super Micro</t>
        </is>
      </c>
      <c r="B11" s="4" t="inlineStr">
        <is>
          <t>SMCI</t>
        </is>
      </c>
      <c r="C11" s="4" t="inlineStr">
        <is>
          <t>AI Facing — Servers</t>
        </is>
      </c>
      <c r="D11" s="5" t="n">
        <v>42.1</v>
      </c>
      <c r="E11" s="5" t="n">
        <v>36</v>
      </c>
      <c r="F11" s="5" t="n">
        <v>31.2</v>
      </c>
      <c r="G11" s="5" t="n">
        <v>110.2</v>
      </c>
      <c r="H11" s="5" t="n">
        <v>99</v>
      </c>
      <c r="I11" s="4" t="inlineStr">
        <is>
          <t>+2%</t>
        </is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0" customWidth="1" min="6" max="6"/>
    <col width="16" customWidth="1" min="7" max="7"/>
    <col width="16" customWidth="1" min="8" max="8"/>
    <col width="14" customWidth="1" min="9" max="9"/>
    <col width="28" customWidth="1" min="10" max="10"/>
  </cols>
  <sheetData>
    <row r="1">
      <c r="A1" s="1" t="inlineStr">
        <is>
          <t>OLS Regression: VRT Revenue Growth (%) ~ Big-5 CapEx ($bn)</t>
        </is>
      </c>
    </row>
    <row r="3">
      <c r="A3" s="10" t="inlineStr">
        <is>
          <t>Regression Summary</t>
        </is>
      </c>
    </row>
    <row r="4">
      <c r="A4" s="11" t="inlineStr">
        <is>
          <t>Statistic</t>
        </is>
      </c>
      <c r="B4" s="11" t="inlineStr">
        <is>
          <t>Value</t>
        </is>
      </c>
      <c r="C4" s="11" t="inlineStr">
        <is>
          <t>Interpretation</t>
        </is>
      </c>
    </row>
    <row r="5">
      <c r="A5" s="12" t="inlineStr">
        <is>
          <t>Dependent variable</t>
        </is>
      </c>
      <c r="B5" s="5" t="inlineStr">
        <is>
          <t>VRT Revenue Growth (%)</t>
        </is>
      </c>
      <c r="C5" s="13" t="inlineStr"/>
    </row>
    <row r="6">
      <c r="A6" s="14" t="inlineStr">
        <is>
          <t>Independent variable</t>
        </is>
      </c>
      <c r="B6" s="7" t="inlineStr">
        <is>
          <t>Big-5 CapEx ($bn)</t>
        </is>
      </c>
      <c r="C6" s="15" t="inlineStr"/>
    </row>
    <row r="7">
      <c r="A7" s="12" t="inlineStr">
        <is>
          <t>Sample period</t>
        </is>
      </c>
      <c r="B7" s="5" t="inlineStr">
        <is>
          <t>2017–2024 annual (n=8)</t>
        </is>
      </c>
      <c r="C7" s="13" t="inlineStr"/>
    </row>
    <row r="8">
      <c r="A8" s="14" t="inlineStr">
        <is>
          <t>No. observations</t>
        </is>
      </c>
      <c r="B8" s="7" t="n">
        <v>8</v>
      </c>
      <c r="C8" s="15" t="inlineStr"/>
    </row>
    <row r="9">
      <c r="A9" s="12" t="inlineStr">
        <is>
          <t>R-squared</t>
        </is>
      </c>
      <c r="B9" s="5" t="n">
        <v>0.8448</v>
      </c>
      <c r="C9" s="13" t="inlineStr">
        <is>
          <t>% of variation in Y explained by X</t>
        </is>
      </c>
    </row>
    <row r="10">
      <c r="A10" s="14" t="inlineStr">
        <is>
          <t>Adjusted R-squared</t>
        </is>
      </c>
      <c r="B10" s="7" t="n">
        <v>0.819</v>
      </c>
      <c r="C10" s="15" t="inlineStr">
        <is>
          <t>R² penalised for sample size</t>
        </is>
      </c>
    </row>
    <row r="11">
      <c r="A11" s="12" t="inlineStr">
        <is>
          <t>F-statistic</t>
        </is>
      </c>
      <c r="B11" s="5" t="n">
        <v>32.6641</v>
      </c>
      <c r="C11" s="13" t="inlineStr">
        <is>
          <t>Joint significance of all regressors</t>
        </is>
      </c>
    </row>
    <row r="12">
      <c r="A12" s="14" t="inlineStr">
        <is>
          <t>Prob(F-statistic)</t>
        </is>
      </c>
      <c r="B12" s="7" t="n">
        <v>0.0012</v>
      </c>
      <c r="C12" s="15" t="inlineStr">
        <is>
          <t>p&lt;0.05 = model is jointly significant</t>
        </is>
      </c>
    </row>
    <row r="13">
      <c r="A13" s="12" t="inlineStr">
        <is>
          <t>AIC</t>
        </is>
      </c>
      <c r="B13" s="5" t="n">
        <v>50.72</v>
      </c>
      <c r="C13" s="13" t="inlineStr">
        <is>
          <t>Lower = better fit (model selection)</t>
        </is>
      </c>
    </row>
    <row r="14">
      <c r="A14" s="14" t="inlineStr">
        <is>
          <t>BIC</t>
        </is>
      </c>
      <c r="B14" s="7" t="n">
        <v>50.88</v>
      </c>
      <c r="C14" s="15" t="inlineStr">
        <is>
          <t>Lower = better fit (penalises params)</t>
        </is>
      </c>
    </row>
    <row r="15">
      <c r="A15" s="12" t="inlineStr">
        <is>
          <t>Pearson r</t>
        </is>
      </c>
      <c r="B15" s="5" t="n">
        <v>0.9191</v>
      </c>
      <c r="C15" s="13" t="inlineStr">
        <is>
          <t>Linear correlation coefficient</t>
        </is>
      </c>
    </row>
    <row r="17">
      <c r="A17" s="10" t="inlineStr">
        <is>
          <t>Coefficient Table</t>
        </is>
      </c>
    </row>
    <row r="18">
      <c r="A18" s="11" t="inlineStr">
        <is>
          <t>Variable</t>
        </is>
      </c>
      <c r="B18" s="11" t="inlineStr">
        <is>
          <t>Coefficient</t>
        </is>
      </c>
      <c r="C18" s="11" t="inlineStr">
        <is>
          <t>Std Error</t>
        </is>
      </c>
      <c r="D18" s="11" t="inlineStr">
        <is>
          <t>t-stat</t>
        </is>
      </c>
      <c r="E18" s="11" t="inlineStr">
        <is>
          <t>p-value</t>
        </is>
      </c>
      <c r="F18" s="11" t="inlineStr">
        <is>
          <t>Sig.</t>
        </is>
      </c>
      <c r="G18" s="11" t="inlineStr">
        <is>
          <t>95% CI Low</t>
        </is>
      </c>
      <c r="H18" s="11" t="inlineStr">
        <is>
          <t>95% CI High</t>
        </is>
      </c>
    </row>
    <row r="19">
      <c r="A19" s="4" t="inlineStr">
        <is>
          <t>Constant</t>
        </is>
      </c>
      <c r="B19" s="5" t="n">
        <v>-15.1769</v>
      </c>
      <c r="C19" s="5" t="n">
        <v>4.9552</v>
      </c>
      <c r="D19" s="5" t="n">
        <v>-3.063</v>
      </c>
      <c r="E19" s="5" t="n">
        <v>0.0221</v>
      </c>
      <c r="F19" s="4" t="inlineStr">
        <is>
          <t>**</t>
        </is>
      </c>
      <c r="G19" s="4" t="n">
        <v>-27.3019</v>
      </c>
      <c r="H19" s="4" t="n">
        <v>-3.0519</v>
      </c>
    </row>
    <row r="20">
      <c r="A20" s="6" t="inlineStr">
        <is>
          <t>Big-5 CapEx ($bn)</t>
        </is>
      </c>
      <c r="B20" s="7" t="n">
        <v>0.1505</v>
      </c>
      <c r="C20" s="7" t="n">
        <v>0.0263</v>
      </c>
      <c r="D20" s="7" t="n">
        <v>5.715</v>
      </c>
      <c r="E20" s="7" t="n">
        <v>0.0012</v>
      </c>
      <c r="F20" s="6" t="inlineStr">
        <is>
          <t>***</t>
        </is>
      </c>
      <c r="G20" s="6" t="n">
        <v>0.0861</v>
      </c>
      <c r="H20" s="6" t="n">
        <v>0.2149</v>
      </c>
    </row>
    <row r="22">
      <c r="A22" s="10" t="inlineStr">
        <is>
          <t>Diagnostic Tests</t>
        </is>
      </c>
    </row>
    <row r="23">
      <c r="A23" s="11" t="inlineStr">
        <is>
          <t>Test</t>
        </is>
      </c>
      <c r="B23" s="11" t="inlineStr">
        <is>
          <t>Statistic</t>
        </is>
      </c>
      <c r="C23" s="11" t="inlineStr">
        <is>
          <t>p-value</t>
        </is>
      </c>
      <c r="D23" s="11" t="inlineStr">
        <is>
          <t>Critical value</t>
        </is>
      </c>
      <c r="E23" s="11" t="inlineStr">
        <is>
          <t>Result</t>
        </is>
      </c>
      <c r="F23" s="11" t="inlineStr">
        <is>
          <t>Interpretation</t>
        </is>
      </c>
    </row>
    <row r="24">
      <c r="A24" s="5" t="inlineStr">
        <is>
          <t>Durbin-Watson</t>
        </is>
      </c>
      <c r="B24" s="5" t="n">
        <v>1.2759</v>
      </c>
      <c r="C24" s="5" t="inlineStr">
        <is>
          <t>—</t>
        </is>
      </c>
      <c r="D24" s="5" t="inlineStr">
        <is>
          <t>1.5–2.5 = OK</t>
        </is>
      </c>
      <c r="E24" s="16" t="inlineStr">
        <is>
          <t>CONCERN</t>
        </is>
      </c>
      <c r="F24" s="17" t="inlineStr">
        <is>
          <t>Tests for 1st-order serial correlation in residuals. Value near 2 = no autocorrelation.</t>
        </is>
      </c>
    </row>
    <row r="25">
      <c r="A25" s="7" t="inlineStr">
        <is>
          <t>Breusch-Pagan</t>
        </is>
      </c>
      <c r="B25" s="7" t="n">
        <v>0.2256</v>
      </c>
      <c r="C25" s="7" t="n">
        <v>0.6348</v>
      </c>
      <c r="D25" s="7" t="inlineStr">
        <is>
          <t>p&lt;0.05 = problem</t>
        </is>
      </c>
      <c r="E25" s="18" t="inlineStr">
        <is>
          <t>OK</t>
        </is>
      </c>
      <c r="F25" s="19" t="inlineStr">
        <is>
          <t>Tests for heteroskedasticity. Non-constant variance in residuals.</t>
        </is>
      </c>
    </row>
    <row r="26">
      <c r="A26" s="5" t="inlineStr">
        <is>
          <t>Jarque-Bera</t>
        </is>
      </c>
      <c r="B26" s="5" t="n">
        <v>1.0961</v>
      </c>
      <c r="C26" s="5" t="n">
        <v>0.5780999999999999</v>
      </c>
      <c r="D26" s="5" t="inlineStr">
        <is>
          <t>p&lt;0.05 = problem</t>
        </is>
      </c>
      <c r="E26" s="20" t="inlineStr">
        <is>
          <t>OK</t>
        </is>
      </c>
      <c r="F26" s="17" t="inlineStr">
        <is>
          <t>Tests normality of residuals. OLS standard errors assume normality.</t>
        </is>
      </c>
    </row>
    <row r="29">
      <c r="A29" s="10" t="inlineStr">
        <is>
          <t>ADF Unit Root Tests (H0: unit root = non-stationary)</t>
        </is>
      </c>
    </row>
    <row r="30">
      <c r="A30" s="11" t="inlineStr">
        <is>
          <t>Series</t>
        </is>
      </c>
      <c r="B30" s="11" t="inlineStr">
        <is>
          <t>ADF Stat</t>
        </is>
      </c>
      <c r="C30" s="11" t="inlineStr">
        <is>
          <t>p-value</t>
        </is>
      </c>
      <c r="D30" s="11" t="inlineStr">
        <is>
          <t>1% CV</t>
        </is>
      </c>
      <c r="E30" s="11" t="inlineStr">
        <is>
          <t>5% CV</t>
        </is>
      </c>
      <c r="F30" s="11" t="inlineStr">
        <is>
          <t>10% CV</t>
        </is>
      </c>
      <c r="G30" s="11" t="inlineStr">
        <is>
          <t>Stationary?</t>
        </is>
      </c>
    </row>
    <row r="31">
      <c r="A31" s="21" t="inlineStr">
        <is>
          <t>VRT Revenue Growth (%)</t>
        </is>
      </c>
      <c r="B31" s="21" t="n">
        <v>1.0365</v>
      </c>
      <c r="C31" s="21" t="n">
        <v>0.9946</v>
      </c>
      <c r="D31" s="21" t="n">
        <v>-4.939</v>
      </c>
      <c r="E31" s="21" t="n">
        <v>-3.478</v>
      </c>
      <c r="F31" s="21" t="n">
        <v>-2.844</v>
      </c>
      <c r="G31" s="22" t="inlineStr">
        <is>
          <t>NO</t>
        </is>
      </c>
    </row>
    <row r="32">
      <c r="A32" s="21" t="inlineStr">
        <is>
          <t>Big-5 CapEx ($bn)</t>
        </is>
      </c>
      <c r="B32" s="21" t="n">
        <v>72.08839999999999</v>
      </c>
      <c r="C32" s="21" t="n">
        <v>1</v>
      </c>
      <c r="D32" s="21" t="n">
        <v>-6.045</v>
      </c>
      <c r="E32" s="21" t="n">
        <v>-3.929</v>
      </c>
      <c r="F32" s="21" t="n">
        <v>-2.987</v>
      </c>
      <c r="G32" s="22" t="inlineStr">
        <is>
          <t>NO</t>
        </is>
      </c>
    </row>
    <row r="35">
      <c r="A35" s="10" t="inlineStr">
        <is>
          <t>Descriptive Statistics</t>
        </is>
      </c>
    </row>
    <row r="36">
      <c r="A36" s="11" t="inlineStr">
        <is>
          <t>Series</t>
        </is>
      </c>
      <c r="B36" s="11" t="inlineStr">
        <is>
          <t>n</t>
        </is>
      </c>
      <c r="C36" s="11" t="inlineStr">
        <is>
          <t>Mean</t>
        </is>
      </c>
      <c r="D36" s="11" t="inlineStr">
        <is>
          <t>Median</t>
        </is>
      </c>
      <c r="E36" s="11" t="inlineStr">
        <is>
          <t>Std Dev</t>
        </is>
      </c>
      <c r="F36" s="11" t="inlineStr">
        <is>
          <t>Min</t>
        </is>
      </c>
      <c r="G36" s="11" t="inlineStr">
        <is>
          <t>Max</t>
        </is>
      </c>
      <c r="H36" s="11" t="inlineStr">
        <is>
          <t>Skewness</t>
        </is>
      </c>
      <c r="I36" s="11" t="inlineStr">
        <is>
          <t>Kurtosis</t>
        </is>
      </c>
    </row>
    <row r="37">
      <c r="A37" s="4" t="inlineStr">
        <is>
          <t>VRT Revenue Growth (%)</t>
        </is>
      </c>
      <c r="B37" s="5" t="n">
        <v>8</v>
      </c>
      <c r="C37" s="5" t="n">
        <v>11.138</v>
      </c>
      <c r="D37" s="5" t="n">
        <v>6.75</v>
      </c>
      <c r="E37" s="5" t="n">
        <v>12.176</v>
      </c>
      <c r="F37" s="5" t="n">
        <v>-2.3</v>
      </c>
      <c r="G37" s="5" t="n">
        <v>35.2</v>
      </c>
      <c r="H37" s="5" t="n">
        <v>1.019</v>
      </c>
      <c r="I37" s="5" t="n">
        <v>-0.09</v>
      </c>
    </row>
    <row r="38">
      <c r="A38" s="4" t="inlineStr">
        <is>
          <t>Big-5 CapEx ($bn)</t>
        </is>
      </c>
      <c r="B38" s="5" t="n">
        <v>8</v>
      </c>
      <c r="C38" s="5" t="n">
        <v>174.875</v>
      </c>
      <c r="D38" s="5" t="n">
        <v>160</v>
      </c>
      <c r="E38" s="5" t="n">
        <v>74.374</v>
      </c>
      <c r="F38" s="5" t="n">
        <v>100</v>
      </c>
      <c r="G38" s="5" t="n">
        <v>310</v>
      </c>
      <c r="H38" s="5" t="n">
        <v>0.641</v>
      </c>
      <c r="I38" s="5" t="n">
        <v>-0.768</v>
      </c>
    </row>
    <row r="41">
      <c r="A41" s="10" t="inlineStr">
        <is>
          <t>Raw Data</t>
        </is>
      </c>
    </row>
    <row r="42">
      <c r="A42" s="11" t="inlineStr">
        <is>
          <t>Big-5 CapEx ($bn)</t>
        </is>
      </c>
      <c r="B42" s="11" t="inlineStr">
        <is>
          <t>VRT Revenue Growth (%)</t>
        </is>
      </c>
      <c r="C42" s="11" t="inlineStr">
        <is>
          <t>OLS Fitted</t>
        </is>
      </c>
      <c r="D42" s="11" t="inlineStr">
        <is>
          <t>Residual</t>
        </is>
      </c>
    </row>
    <row r="43">
      <c r="A43" s="5" t="n">
        <v>100</v>
      </c>
      <c r="B43" s="5" t="n">
        <v>4.2</v>
      </c>
      <c r="C43" s="4" t="n">
        <v>-0.129</v>
      </c>
      <c r="D43" s="4" t="n">
        <v>4.329</v>
      </c>
    </row>
    <row r="44">
      <c r="A44" s="7" t="n">
        <v>105</v>
      </c>
      <c r="B44" s="7" t="n">
        <v>3.8</v>
      </c>
      <c r="C44" s="6" t="n">
        <v>0.623</v>
      </c>
      <c r="D44" s="6" t="n">
        <v>3.177</v>
      </c>
    </row>
    <row r="45">
      <c r="A45" s="5" t="n">
        <v>115</v>
      </c>
      <c r="B45" s="5" t="n">
        <v>5.1</v>
      </c>
      <c r="C45" s="4" t="n">
        <v>2.128</v>
      </c>
      <c r="D45" s="4" t="n">
        <v>2.972</v>
      </c>
    </row>
    <row r="46">
      <c r="A46" s="7" t="n">
        <v>140</v>
      </c>
      <c r="B46" s="7" t="n">
        <v>-2.3</v>
      </c>
      <c r="C46" s="6" t="n">
        <v>5.89</v>
      </c>
      <c r="D46" s="6" t="n">
        <v>-8.19</v>
      </c>
    </row>
    <row r="47">
      <c r="A47" s="5" t="n">
        <v>180</v>
      </c>
      <c r="B47" s="5" t="n">
        <v>8.4</v>
      </c>
      <c r="C47" s="4" t="n">
        <v>11.909</v>
      </c>
      <c r="D47" s="4" t="n">
        <v>-3.509</v>
      </c>
    </row>
    <row r="48">
      <c r="A48" s="7" t="n">
        <v>214</v>
      </c>
      <c r="B48" s="7" t="n">
        <v>12.1</v>
      </c>
      <c r="C48" s="6" t="n">
        <v>17.025</v>
      </c>
      <c r="D48" s="6" t="n">
        <v>-4.925</v>
      </c>
    </row>
    <row r="49">
      <c r="A49" s="5" t="n">
        <v>235</v>
      </c>
      <c r="B49" s="5" t="n">
        <v>22.6</v>
      </c>
      <c r="C49" s="4" t="n">
        <v>20.185</v>
      </c>
      <c r="D49" s="4" t="n">
        <v>2.415</v>
      </c>
    </row>
    <row r="50">
      <c r="A50" s="7" t="n">
        <v>310</v>
      </c>
      <c r="B50" s="7" t="n">
        <v>35.2</v>
      </c>
      <c r="C50" s="6" t="n">
        <v>31.47</v>
      </c>
      <c r="D50" s="6" t="n">
        <v>3.73</v>
      </c>
    </row>
    <row r="53">
      <c r="A53" s="2" t="inlineStr">
        <is>
          <t>Source: Bloomberg, VRT 10-K filings, Goldman Sachs CapEx tracker</t>
        </is>
      </c>
    </row>
  </sheetData>
  <mergeCells count="1">
    <mergeCell ref="A53:F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8" customWidth="1" min="4" max="4"/>
    <col width="20" customWidth="1" min="5" max="5"/>
    <col width="20" customWidth="1" min="6" max="6"/>
    <col width="40" customWidth="1" min="7" max="7"/>
  </cols>
  <sheetData>
    <row r="1">
      <c r="A1" s="1" t="inlineStr">
        <is>
          <t>Valuation Re-rating Scenario Analysis</t>
        </is>
      </c>
    </row>
    <row r="2">
      <c r="A2" s="2" t="inlineStr">
        <is>
          <t>Source: FactSet, Bloomberg; EPS growth assumption = +18% consensus FY2025E (VRT)</t>
        </is>
      </c>
    </row>
    <row r="4">
      <c r="A4" s="3" t="inlineStr">
        <is>
          <t>Scenario</t>
        </is>
      </c>
      <c r="B4" s="3" t="inlineStr">
        <is>
          <t>Entry P/E</t>
        </is>
      </c>
      <c r="C4" s="3" t="inlineStr">
        <is>
          <t>Target P/E</t>
        </is>
      </c>
      <c r="D4" s="3" t="inlineStr">
        <is>
          <t>Multiple Expansion</t>
        </is>
      </c>
      <c r="E4" s="3" t="inlineStr">
        <is>
          <t>EPS Growth (assumed)</t>
        </is>
      </c>
      <c r="F4" s="3" t="inlineStr">
        <is>
          <t>Total Implied Return</t>
        </is>
      </c>
      <c r="G4" s="3" t="inlineStr">
        <is>
          <t>Notes</t>
        </is>
      </c>
    </row>
    <row r="5">
      <c r="A5" s="4" t="inlineStr">
        <is>
          <t>Bear — stays industrial</t>
        </is>
      </c>
      <c r="B5" s="5" t="n">
        <v>22</v>
      </c>
      <c r="C5" s="5" t="n">
        <v>15</v>
      </c>
      <c r="D5" s="29">
        <f>C5/B5-1</f>
        <v/>
      </c>
      <c r="E5" s="4" t="inlineStr">
        <is>
          <t>18%</t>
        </is>
      </c>
      <c r="F5" s="4" t="inlineStr">
        <is>
          <t>-19.5%</t>
        </is>
      </c>
      <c r="G5" s="23" t="inlineStr">
        <is>
          <t>Sector re-rates down; AI capex slows</t>
        </is>
      </c>
    </row>
    <row r="6">
      <c r="A6" s="6" t="inlineStr">
        <is>
          <t>Base — partial re-rate</t>
        </is>
      </c>
      <c r="B6" s="7" t="n">
        <v>22</v>
      </c>
      <c r="C6" s="7" t="n">
        <v>27.5</v>
      </c>
      <c r="D6" s="30">
        <f>C6/B6-1</f>
        <v/>
      </c>
      <c r="E6" s="6" t="inlineStr">
        <is>
          <t>18%</t>
        </is>
      </c>
      <c r="F6" s="6" t="inlineStr">
        <is>
          <t>+47.5%</t>
        </is>
      </c>
      <c r="G6" s="24" t="inlineStr">
        <is>
          <t>Market recognises locked-in backlog</t>
        </is>
      </c>
    </row>
    <row r="7">
      <c r="A7" s="4" t="inlineStr">
        <is>
          <t>Bull — infrastructure re-rate</t>
        </is>
      </c>
      <c r="B7" s="5" t="n">
        <v>22</v>
      </c>
      <c r="C7" s="5" t="n">
        <v>35</v>
      </c>
      <c r="D7" s="29">
        <f>C7/B7-1</f>
        <v/>
      </c>
      <c r="E7" s="4" t="inlineStr">
        <is>
          <t>18%</t>
        </is>
      </c>
      <c r="F7" s="4" t="inlineStr">
        <is>
          <t>+87.7%</t>
        </is>
      </c>
      <c r="G7" s="23" t="inlineStr">
        <is>
          <t>Multiple converges to AI-adjacent peers</t>
        </is>
      </c>
    </row>
    <row r="8">
      <c r="A8" s="6" t="inlineStr">
        <is>
          <t>Full AI-peer re-rate</t>
        </is>
      </c>
      <c r="B8" s="7" t="n">
        <v>22</v>
      </c>
      <c r="C8" s="7" t="n">
        <v>42</v>
      </c>
      <c r="D8" s="30">
        <f>C8/B8-1</f>
        <v/>
      </c>
      <c r="E8" s="6" t="inlineStr">
        <is>
          <t>18%</t>
        </is>
      </c>
      <c r="F8" s="6" t="inlineStr">
        <is>
          <t>+125.3%</t>
        </is>
      </c>
      <c r="G8" s="24" t="inlineStr">
        <is>
          <t>Full convergence to NVDA/AMD valuation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2026-04-01T21:58:45Z</dcterms:created>
  <dcterms:modified xmlns:dcterms="http://purl.org/dc/terms/" xmlns:xsi="http://www.w3.org/2001/XMLSchema-instance" xsi:type="dcterms:W3CDTF">2026-04-02T11:57:42Z</dcterms:modified>
</cp:coreProperties>
</file>