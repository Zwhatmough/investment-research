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Assumptions_Sources" sheetId="1" state="visible" r:id="rId1"/>
    <sheet xmlns:r="http://schemas.openxmlformats.org/officeDocument/2006/relationships" name="1_Summary" sheetId="2" state="visible" r:id="rId2"/>
    <sheet xmlns:r="http://schemas.openxmlformats.org/officeDocument/2006/relationships" name="2_PE_History" sheetId="3" state="visible" r:id="rId3"/>
    <sheet xmlns:r="http://schemas.openxmlformats.org/officeDocument/2006/relationships" name="3_Sector_Composition" sheetId="4" state="visible" r:id="rId4"/>
    <sheet xmlns:r="http://schemas.openxmlformats.org/officeDocument/2006/relationships" name="4_OLS_PE_Returns" sheetId="5" state="visible" r:id="rId5"/>
    <sheet xmlns:r="http://schemas.openxmlformats.org/officeDocument/2006/relationships" name="5_Scenarios" sheetId="6" state="visible" r:id="rId6"/>
    <sheet xmlns:r="http://schemas.openxmlformats.org/officeDocument/2006/relationships" name="6_Capital_Flow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family val="2"/>
      <color theme="1"/>
      <sz val="11"/>
      <scheme val="minor"/>
    </font>
    <font>
      <name val="Calibri"/>
      <b val="1"/>
      <color rgb="000D1B2A"/>
      <sz val="13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1B4F72"/>
      <sz val="11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color rgb="00B83232"/>
      <sz val="10"/>
    </font>
    <font>
      <name val="Calibri"/>
      <color rgb="001A7A40"/>
      <sz val="10"/>
    </font>
    <font>
      <name val="Calibri"/>
      <b val="1"/>
      <color rgb="000D1B2A"/>
      <sz val="14"/>
    </font>
    <font>
      <name val="Calibri"/>
      <b val="1"/>
      <color rgb="000D1B2A"/>
      <sz val="12"/>
    </font>
    <font>
      <name val="Calibri"/>
      <i val="1"/>
      <color rgb="00444444"/>
      <sz val="9"/>
    </font>
  </fonts>
  <fills count="7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F4F6F8"/>
      </patternFill>
    </fill>
    <fill>
      <patternFill patternType="solid">
        <fgColor rgb="00FFFFFF"/>
      </patternFill>
    </fill>
    <fill>
      <patternFill patternType="solid">
        <fgColor rgb="00E8F4FB"/>
      </patternFill>
    </fill>
    <fill>
      <patternFill patternType="solid">
        <fgColor rgb="001B4F7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pivotButton="0" quotePrefix="0" xfId="0"/>
    <xf numFmtId="0" fontId="5" fillId="3" borderId="0" pivotButton="0" quotePrefix="0" xfId="0"/>
    <xf numFmtId="0" fontId="4" fillId="4" borderId="0" pivotButton="0" quotePrefix="0" xfId="0"/>
    <xf numFmtId="0" fontId="5" fillId="4" borderId="0" pivotButton="0" quotePrefix="0" xfId="0"/>
    <xf numFmtId="0" fontId="4" fillId="5" borderId="0" pivotButton="0" quotePrefix="0" xfId="0"/>
    <xf numFmtId="0" fontId="5" fillId="5" borderId="0" pivotButton="0" quotePrefix="0" xfId="0"/>
    <xf numFmtId="0" fontId="4" fillId="5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6" fillId="0" borderId="0" pivotButton="0" quotePrefix="0" xfId="0"/>
    <xf numFmtId="0" fontId="3" fillId="6" borderId="0" applyAlignment="1" pivotButton="0" quotePrefix="0" xfId="0">
      <alignment horizontal="center" vertical="center"/>
    </xf>
    <xf numFmtId="0" fontId="7" fillId="3" borderId="0" pivotButton="0" quotePrefix="0" xfId="0"/>
    <xf numFmtId="0" fontId="8" fillId="3" borderId="0" pivotButton="0" quotePrefix="0" xfId="0"/>
    <xf numFmtId="0" fontId="7" fillId="4" borderId="0" pivotButton="0" quotePrefix="0" xfId="0"/>
    <xf numFmtId="0" fontId="8" fillId="4" borderId="0" pivotButton="0" quotePrefix="0" xfId="0"/>
    <xf numFmtId="0" fontId="9" fillId="3" borderId="0" pivotButton="0" quotePrefix="0" xfId="0"/>
    <xf numFmtId="0" fontId="5" fillId="3" borderId="0" applyAlignment="1" pivotButton="0" quotePrefix="0" xfId="0">
      <alignment vertical="top" wrapText="1"/>
    </xf>
    <xf numFmtId="0" fontId="10" fillId="4" borderId="0" pivotButton="0" quotePrefix="0" xfId="0"/>
    <xf numFmtId="0" fontId="5" fillId="4" borderId="0" applyAlignment="1" pivotButton="0" quotePrefix="0" xfId="0">
      <alignment vertical="top" wrapText="1"/>
    </xf>
    <xf numFmtId="0" fontId="10" fillId="3" borderId="0" pivotButton="0" quotePrefix="0" xfId="0"/>
    <xf numFmtId="0" fontId="5" fillId="0" borderId="0" pivotButton="0" quotePrefix="0" xfId="0"/>
    <xf numFmtId="0" fontId="10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3" fillId="2" borderId="0" pivotButton="0" quotePrefix="0" xfId="0"/>
    <xf numFmtId="0" fontId="13" fillId="0" borderId="0" applyAlignment="1" pivotButton="0" quotePrefix="0" xfId="0">
      <alignment vertical="top" wrapText="1"/>
    </xf>
    <xf numFmtId="164" fontId="4" fillId="3" borderId="0" pivotButton="0" quotePrefix="0" xfId="0"/>
    <xf numFmtId="164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2" customWidth="1" min="3" max="3"/>
    <col width="32" customWidth="1" min="4" max="4"/>
    <col width="16" customWidth="1" min="5" max="5"/>
    <col width="22" customWidth="1" min="6" max="6"/>
    <col width="38" customWidth="1" min="7" max="7"/>
  </cols>
  <sheetData>
    <row r="1">
      <c r="A1" s="27" t="inlineStr">
        <is>
          <t>MEMO 02 — European Equities</t>
        </is>
      </c>
    </row>
    <row r="2">
      <c r="A2" s="13" t="inlineStr">
        <is>
          <t>Assumptions &amp; Data Sources — Full Audit Trail</t>
        </is>
      </c>
    </row>
    <row r="3">
      <c r="A3" s="2" t="inlineStr">
        <is>
          <t>Colour coding: BLUE = hardcoded input  |  BLACK = formula output  |  GREEN = cross-sheet link</t>
        </is>
      </c>
    </row>
    <row r="5">
      <c r="A5" s="28" t="inlineStr">
        <is>
          <t>DATA SOURCES</t>
        </is>
      </c>
    </row>
    <row r="6">
      <c r="A6" s="29" t="inlineStr">
        <is>
          <t>#</t>
        </is>
      </c>
      <c r="B6" s="29" t="inlineStr">
        <is>
          <t>Series / Variable</t>
        </is>
      </c>
      <c r="C6" s="29" t="inlineStr">
        <is>
          <t>Source</t>
        </is>
      </c>
      <c r="D6" s="29" t="inlineStr">
        <is>
          <t>Specific Reference</t>
        </is>
      </c>
      <c r="E6" s="29" t="inlineStr">
        <is>
          <t>Date Range</t>
        </is>
      </c>
      <c r="F6" s="29" t="inlineStr">
        <is>
          <t>Frequency</t>
        </is>
      </c>
      <c r="G6" s="29" t="inlineStr">
        <is>
          <t>Notes</t>
        </is>
      </c>
    </row>
    <row r="7">
      <c r="A7" s="4" t="n">
        <v>1</v>
      </c>
      <c r="B7" s="4" t="inlineStr">
        <is>
          <t>MSCI Europe NTM P/E history</t>
        </is>
      </c>
      <c r="C7" s="5" t="inlineStr">
        <is>
          <t>Bloomberg</t>
        </is>
      </c>
      <c r="D7" s="5" t="inlineStr">
        <is>
          <t>MXEU Index, BEST_PE_RATIO — Bloomberg terminal</t>
        </is>
      </c>
      <c r="E7" s="4" t="inlineStr">
        <is>
          <t>2000–2024</t>
        </is>
      </c>
      <c r="F7" s="4" t="inlineStr">
        <is>
          <t>Annual avg</t>
        </is>
      </c>
      <c r="G7" s="12" t="inlineStr">
        <is>
          <t>NTM P/E using analyst consensus estimates</t>
        </is>
      </c>
    </row>
    <row r="8">
      <c r="A8" s="6" t="n">
        <v>2</v>
      </c>
      <c r="B8" s="6" t="inlineStr">
        <is>
          <t>S&amp;P 500 NTM P/E history</t>
        </is>
      </c>
      <c r="C8" s="7" t="inlineStr">
        <is>
          <t>Bloomberg</t>
        </is>
      </c>
      <c r="D8" s="7" t="inlineStr">
        <is>
          <t>SPX Index, BEST_PE_RATIO — Bloomberg terminal</t>
        </is>
      </c>
      <c r="E8" s="6" t="inlineStr">
        <is>
          <t>2000–2024</t>
        </is>
      </c>
      <c r="F8" s="6" t="inlineStr">
        <is>
          <t>Annual avg</t>
        </is>
      </c>
      <c r="G8" s="11" t="inlineStr"/>
    </row>
    <row r="9">
      <c r="A9" s="4" t="n">
        <v>3</v>
      </c>
      <c r="B9" s="4" t="inlineStr">
        <is>
          <t>MSCI Europe total return</t>
        </is>
      </c>
      <c r="C9" s="5" t="inlineStr">
        <is>
          <t>Bloomberg</t>
        </is>
      </c>
      <c r="D9" s="5" t="inlineStr">
        <is>
          <t>MXEU Index, TOT_RETURN_INDEX_GROSS_DVDS — USD</t>
        </is>
      </c>
      <c r="E9" s="4" t="inlineStr">
        <is>
          <t>2000–2023</t>
        </is>
      </c>
      <c r="F9" s="4" t="inlineStr">
        <is>
          <t>Annual</t>
        </is>
      </c>
      <c r="G9" s="12" t="inlineStr">
        <is>
          <t>Calendar year total return in USD</t>
        </is>
      </c>
    </row>
    <row r="10">
      <c r="A10" s="6" t="n">
        <v>4</v>
      </c>
      <c r="B10" s="6" t="inlineStr">
        <is>
          <t>US equity ETF flows</t>
        </is>
      </c>
      <c r="C10" s="7" t="inlineStr">
        <is>
          <t>BofA Global Research</t>
        </is>
      </c>
      <c r="D10" s="7" t="inlineStr">
        <is>
          <t>BofA Global Fund Manager Survey and EPFR data, Feb 2026</t>
        </is>
      </c>
      <c r="E10" s="6" t="inlineStr">
        <is>
          <t>2019–2025</t>
        </is>
      </c>
      <c r="F10" s="6" t="inlineStr">
        <is>
          <t>Annual</t>
        </is>
      </c>
      <c r="G10" s="11" t="inlineStr">
        <is>
          <t>Net retail + institutional ETF flow estimate</t>
        </is>
      </c>
    </row>
    <row r="11">
      <c r="A11" s="4" t="n">
        <v>5</v>
      </c>
      <c r="B11" s="4" t="inlineStr">
        <is>
          <t>Index sector weights</t>
        </is>
      </c>
      <c r="C11" s="5" t="inlineStr">
        <is>
          <t>MSCI</t>
        </is>
      </c>
      <c r="D11" s="5" t="inlineStr">
        <is>
          <t>MSCI Index Methodology — Sector weights as at 28 Feb 2026</t>
        </is>
      </c>
      <c r="E11" s="4" t="inlineStr">
        <is>
          <t>Q1 2026</t>
        </is>
      </c>
      <c r="F11" s="4" t="inlineStr">
        <is>
          <t>Monthly</t>
        </is>
      </c>
      <c r="G11" s="12" t="inlineStr">
        <is>
          <t>GICS Level 1 classification</t>
        </is>
      </c>
    </row>
    <row r="12">
      <c r="A12" s="6" t="n">
        <v>6</v>
      </c>
      <c r="B12" s="6" t="inlineStr">
        <is>
          <t>ECB policy rates</t>
        </is>
      </c>
      <c r="C12" s="7" t="inlineStr">
        <is>
          <t>European Central Bank</t>
        </is>
      </c>
      <c r="D12" s="7" t="inlineStr">
        <is>
          <t>ECB Statistical Data Warehouse — Key interest rates</t>
        </is>
      </c>
      <c r="E12" s="6" t="inlineStr">
        <is>
          <t>2014–2026</t>
        </is>
      </c>
      <c r="F12" s="6" t="inlineStr">
        <is>
          <t>Monthly</t>
        </is>
      </c>
      <c r="G12" s="11" t="inlineStr">
        <is>
          <t>Deposit facility rate</t>
        </is>
      </c>
    </row>
    <row r="13">
      <c r="A13" s="4" t="n">
        <v>7</v>
      </c>
      <c r="B13" s="4" t="inlineStr">
        <is>
          <t>German fiscal package</t>
        </is>
      </c>
      <c r="C13" s="5" t="inlineStr">
        <is>
          <t>German government</t>
        </is>
      </c>
      <c r="D13" s="5" t="inlineStr">
        <is>
          <t>Federal Ministry of Finance press release, 24 Feb 2026</t>
        </is>
      </c>
      <c r="E13" s="4" t="inlineStr">
        <is>
          <t>Feb 2026</t>
        </is>
      </c>
      <c r="F13" s="4" t="inlineStr">
        <is>
          <t>One-off</t>
        </is>
      </c>
      <c r="G13" s="12" t="inlineStr">
        <is>
          <t>€500bn defence + infrastructure commitment</t>
        </is>
      </c>
    </row>
    <row r="14">
      <c r="A14" s="6" t="n">
        <v>8</v>
      </c>
      <c r="B14" s="6" t="inlineStr">
        <is>
          <t>EU EPS growth consensus</t>
        </is>
      </c>
      <c r="C14" s="7" t="inlineStr">
        <is>
          <t>FactSet</t>
        </is>
      </c>
      <c r="D14" s="7" t="inlineStr">
        <is>
          <t>FactSet Consensus — MSCI Europe EPS 2026E</t>
        </is>
      </c>
      <c r="E14" s="6" t="inlineStr">
        <is>
          <t>Mar 2026</t>
        </is>
      </c>
      <c r="F14" s="6" t="inlineStr">
        <is>
          <t>Annual</t>
        </is>
      </c>
      <c r="G14" s="11" t="inlineStr">
        <is>
          <t>Consensus median estimate</t>
        </is>
      </c>
    </row>
    <row r="16">
      <c r="A16" s="28" t="inlineStr">
        <is>
          <t>KEY ASSUMPTIONS</t>
        </is>
      </c>
    </row>
    <row r="17">
      <c r="A17" s="29" t="inlineStr">
        <is>
          <t>#</t>
        </is>
      </c>
      <c r="B17" s="29" t="inlineStr">
        <is>
          <t>Assumption</t>
        </is>
      </c>
      <c r="C17" s="29" t="inlineStr">
        <is>
          <t>Value Used</t>
        </is>
      </c>
      <c r="D17" s="29" t="inlineStr">
        <is>
          <t>Rationale / Source</t>
        </is>
      </c>
      <c r="E17" s="29" t="inlineStr">
        <is>
          <t>Sensitivity</t>
        </is>
      </c>
      <c r="F17" s="29" t="inlineStr">
        <is>
          <t>Alternative View</t>
        </is>
      </c>
    </row>
    <row r="18">
      <c r="A18" s="4" t="n">
        <v>1</v>
      </c>
      <c r="B18" s="4" t="inlineStr">
        <is>
          <t>MSCI Europe entry P/E</t>
        </is>
      </c>
      <c r="C18" s="5" t="inlineStr">
        <is>
          <t>13.0x</t>
        </is>
      </c>
      <c r="D18" s="12" t="inlineStr">
        <is>
          <t>Bloomberg NTM P/E as at 31 Mar 2026</t>
        </is>
      </c>
      <c r="E18" s="4" t="inlineStr">
        <is>
          <t>±0.5x from date sensitivity</t>
        </is>
      </c>
      <c r="F18" s="12" t="inlineStr">
        <is>
          <t>ECB rate path is main driver</t>
        </is>
      </c>
    </row>
    <row r="19">
      <c r="A19" s="6" t="n">
        <v>2</v>
      </c>
      <c r="B19" s="6" t="inlineStr">
        <is>
          <t>S&amp;P 500 comparator P/E</t>
        </is>
      </c>
      <c r="C19" s="7" t="inlineStr">
        <is>
          <t>21.0x</t>
        </is>
      </c>
      <c r="D19" s="11" t="inlineStr">
        <is>
          <t>Bloomberg NTM P/E as at 31 Mar 2026</t>
        </is>
      </c>
      <c r="E19" s="6" t="inlineStr">
        <is>
          <t>±1x</t>
        </is>
      </c>
      <c r="F19" s="11" t="inlineStr">
        <is>
          <t>Fed path; AI earnings premium</t>
        </is>
      </c>
    </row>
    <row r="20">
      <c r="A20" s="4" t="n">
        <v>3</v>
      </c>
      <c r="B20" s="4" t="inlineStr">
        <is>
          <t>20yr average P/E discount</t>
        </is>
      </c>
      <c r="C20" s="5" t="inlineStr">
        <is>
          <t>-15%</t>
        </is>
      </c>
      <c r="D20" s="12" t="inlineStr">
        <is>
          <t>Author calculation from Bloomberg data 2000–2023</t>
        </is>
      </c>
      <c r="E20" s="4" t="inlineStr">
        <is>
          <t>Range -8% to -22%</t>
        </is>
      </c>
      <c r="F20" s="12" t="inlineStr">
        <is>
          <t>Sector composition shift widens structural discount</t>
        </is>
      </c>
    </row>
    <row r="21">
      <c r="A21" s="6" t="n">
        <v>4</v>
      </c>
      <c r="B21" s="6" t="inlineStr">
        <is>
          <t>EU EPS growth (base)</t>
        </is>
      </c>
      <c r="C21" s="7" t="inlineStr">
        <is>
          <t>5%</t>
        </is>
      </c>
      <c r="D21" s="11" t="inlineStr">
        <is>
          <t>FactSet consensus median 2026E for MSCI Europe</t>
        </is>
      </c>
      <c r="E21" s="6" t="inlineStr">
        <is>
          <t>2–8% plausible range</t>
        </is>
      </c>
      <c r="F21" s="11" t="inlineStr">
        <is>
          <t>German fiscal multiplier upside not yet in consensus</t>
        </is>
      </c>
    </row>
    <row r="22">
      <c r="A22" s="4" t="n">
        <v>5</v>
      </c>
      <c r="B22" s="4" t="inlineStr">
        <is>
          <t>Partial revert target P/E</t>
        </is>
      </c>
      <c r="C22" s="5" t="inlineStr">
        <is>
          <t>15.0x</t>
        </is>
      </c>
      <c r="D22" s="12" t="inlineStr">
        <is>
          <t>Midpoint of 20yr average discount applied to US 21x</t>
        </is>
      </c>
      <c r="E22" s="4" t="inlineStr">
        <is>
          <t>13–17x scenario range</t>
        </is>
      </c>
      <c r="F22" s="12" t="inlineStr">
        <is>
          <t>Depends on narrative inflection timing</t>
        </is>
      </c>
    </row>
    <row r="24">
      <c r="A24" s="13" t="inlineStr">
        <is>
          <t>DATA INTEGRITY NOTE</t>
        </is>
      </c>
    </row>
    <row r="25" ht="28" customHeight="1">
      <c r="A25" s="30" t="inlineStr">
        <is>
          <t>Historical price/index data is sourced from public market data providers (Bloomberg, FactSet, FRED). Annual averages used throughout unless stated.</t>
        </is>
      </c>
    </row>
    <row r="26" ht="28" customHeight="1">
      <c r="A26" s="30" t="inlineStr">
        <is>
          <t>Some data series (P/E history pre-2010, sector composition) are based on published research reports and may differ marginally from terminal data.</t>
        </is>
      </c>
    </row>
    <row r="27" ht="28" customHeight="1">
      <c r="A27" s="30" t="inlineStr">
        <is>
          <t>All OLS regressions are fully reproducible from the raw data in the adjacent tabs using Python (statsmodels) or Excel (=LINEST function).</t>
        </is>
      </c>
    </row>
    <row r="28" ht="28" customHeight="1">
      <c r="A28" s="30" t="inlineStr">
        <is>
          <t>Supply/demand forecasts are from ICSG, Wood Mackenzie, and IEA published reports — referenced with specific publication dates above.</t>
        </is>
      </c>
    </row>
    <row r="29" ht="28" customHeight="1">
      <c r="A29" s="30" t="inlineStr">
        <is>
          <t>Valuation multiples (P/E, EV/EBITDA) are NTM (next-twelve-month) consensus estimates from FactSet as at Q1 2026 unless stated otherwise.</t>
        </is>
      </c>
    </row>
  </sheetData>
  <mergeCells count="5">
    <mergeCell ref="A27:G27"/>
    <mergeCell ref="A26:G26"/>
    <mergeCell ref="A29:G29"/>
    <mergeCell ref="A25:G25"/>
    <mergeCell ref="A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0" customWidth="1" min="3" max="3"/>
    <col width="32" customWidth="1" min="4" max="4"/>
  </cols>
  <sheetData>
    <row r="1">
      <c r="A1" s="1" t="inlineStr">
        <is>
          <t>MEMO 02 — European Equities: Data Workbook</t>
        </is>
      </c>
    </row>
    <row r="2">
      <c r="A2" s="2" t="inlineStr">
        <is>
          <t>Zak Whatmough  |  Q1 2026  |  Sources: Bloomberg, MSCI, BofA, ECB, FactSet</t>
        </is>
      </c>
    </row>
    <row r="4">
      <c r="A4" s="3" t="inlineStr">
        <is>
          <t>KPI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</row>
    <row r="5">
      <c r="A5" s="4" t="inlineStr">
        <is>
          <t>MSCI Europe fwd P/E (Mar 2026)</t>
        </is>
      </c>
      <c r="B5" s="5" t="inlineStr">
        <is>
          <t>13.0</t>
        </is>
      </c>
      <c r="C5" s="4" t="inlineStr">
        <is>
          <t>x</t>
        </is>
      </c>
      <c r="D5" s="4" t="inlineStr">
        <is>
          <t>Bloomberg</t>
        </is>
      </c>
    </row>
    <row r="6">
      <c r="A6" s="6" t="inlineStr">
        <is>
          <t>S&amp;P 500 fwd P/E (Mar 2026)</t>
        </is>
      </c>
      <c r="B6" s="7" t="inlineStr">
        <is>
          <t>21.0</t>
        </is>
      </c>
      <c r="C6" s="6" t="inlineStr">
        <is>
          <t>x</t>
        </is>
      </c>
      <c r="D6" s="6" t="inlineStr">
        <is>
          <t>Bloomberg</t>
        </is>
      </c>
    </row>
    <row r="7">
      <c r="A7" s="4" t="inlineStr">
        <is>
          <t>Current P/E discount EU vs US</t>
        </is>
      </c>
      <c r="B7" s="5" t="inlineStr">
        <is>
          <t>-38%</t>
        </is>
      </c>
      <c r="C7" s="4" t="inlineStr">
        <is>
          <t>%</t>
        </is>
      </c>
      <c r="D7" s="4" t="inlineStr">
        <is>
          <t>Bloomberg (computed)</t>
        </is>
      </c>
    </row>
    <row r="8">
      <c r="A8" s="6" t="inlineStr">
        <is>
          <t>20-year average P/E discount</t>
        </is>
      </c>
      <c r="B8" s="7" t="inlineStr">
        <is>
          <t>~-15%</t>
        </is>
      </c>
      <c r="C8" s="6" t="inlineStr">
        <is>
          <t>%</t>
        </is>
      </c>
      <c r="D8" s="6" t="inlineStr">
        <is>
          <t>Bloomberg historical</t>
        </is>
      </c>
    </row>
    <row r="9">
      <c r="A9" s="4" t="inlineStr">
        <is>
          <t>US equity ETF net flows 2023-24</t>
        </is>
      </c>
      <c r="B9" s="5" t="inlineStr">
        <is>
          <t>$450bn+</t>
        </is>
      </c>
      <c r="C9" s="4" t="inlineStr">
        <is>
          <t>$bn</t>
        </is>
      </c>
      <c r="D9" s="4" t="inlineStr">
        <is>
          <t>BofA Global Research</t>
        </is>
      </c>
    </row>
    <row r="10">
      <c r="A10" s="6" t="inlineStr">
        <is>
          <t>European equity ETF net flows 2023-24</t>
        </is>
      </c>
      <c r="B10" s="7" t="inlineStr">
        <is>
          <t>$28bn</t>
        </is>
      </c>
      <c r="C10" s="6" t="inlineStr">
        <is>
          <t>$bn</t>
        </is>
      </c>
      <c r="D10" s="6" t="inlineStr">
        <is>
          <t>BofA Global Research</t>
        </is>
      </c>
    </row>
    <row r="11">
      <c r="A11" s="4" t="inlineStr">
        <is>
          <t>ECB rate cuts cycle start</t>
        </is>
      </c>
      <c r="B11" s="5" t="inlineStr">
        <is>
          <t>Jun 2024</t>
        </is>
      </c>
      <c r="C11" s="4" t="inlineStr">
        <is>
          <t>date</t>
        </is>
      </c>
      <c r="D11" s="4" t="inlineStr">
        <is>
          <t>ECB</t>
        </is>
      </c>
    </row>
    <row r="12">
      <c r="A12" s="6" t="inlineStr">
        <is>
          <t>German fiscal commitment (defence/infra)</t>
        </is>
      </c>
      <c r="B12" s="7" t="inlineStr">
        <is>
          <t>€500bn</t>
        </is>
      </c>
      <c r="C12" s="6" t="inlineStr">
        <is>
          <t>€bn</t>
        </is>
      </c>
      <c r="D12" s="6" t="inlineStr">
        <is>
          <t>German government, Feb 2026</t>
        </is>
      </c>
    </row>
    <row r="13">
      <c r="A13" s="4" t="inlineStr">
        <is>
          <t>MSCI Europe Technology weight</t>
        </is>
      </c>
      <c r="B13" s="5" t="inlineStr">
        <is>
          <t>8%</t>
        </is>
      </c>
      <c r="C13" s="4" t="inlineStr">
        <is>
          <t>%</t>
        </is>
      </c>
      <c r="D13" s="4" t="inlineStr">
        <is>
          <t>MSCI</t>
        </is>
      </c>
    </row>
    <row r="14">
      <c r="A14" s="6" t="inlineStr">
        <is>
          <t>S&amp;P 500 Technology weight</t>
        </is>
      </c>
      <c r="B14" s="7" t="inlineStr">
        <is>
          <t>30%</t>
        </is>
      </c>
      <c r="C14" s="6" t="inlineStr">
        <is>
          <t>%</t>
        </is>
      </c>
      <c r="D14" s="6" t="inlineStr">
        <is>
          <t>MSCI</t>
        </is>
      </c>
    </row>
    <row r="15">
      <c r="A15" s="4" t="inlineStr">
        <is>
          <t>EU EPS growth 2026E</t>
        </is>
      </c>
      <c r="B15" s="5" t="inlineStr">
        <is>
          <t>5%</t>
        </is>
      </c>
      <c r="C15" s="4" t="inlineStr">
        <is>
          <t>%</t>
        </is>
      </c>
      <c r="D15" s="4" t="inlineStr">
        <is>
          <t>FactSet consensus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8" customWidth="1" min="3" max="3"/>
    <col width="18" customWidth="1" min="4" max="4"/>
    <col width="20" customWidth="1" min="5" max="5"/>
    <col width="20" customWidth="1" min="6" max="6"/>
    <col width="22" customWidth="1" min="7" max="7"/>
  </cols>
  <sheetData>
    <row r="1">
      <c r="A1" s="1" t="inlineStr">
        <is>
          <t>MSCI Europe vs S&amp;P 500 Forward P/E — 20-Year History (2000-2023)</t>
        </is>
      </c>
    </row>
    <row r="2">
      <c r="A2" s="2" t="inlineStr">
        <is>
          <t>Source: Bloomberg, MSCI, FactSet</t>
        </is>
      </c>
    </row>
    <row r="4">
      <c r="A4" s="3" t="inlineStr">
        <is>
          <t>Year</t>
        </is>
      </c>
      <c r="B4" s="3" t="inlineStr">
        <is>
          <t>MSCI Europe NTM P/E</t>
        </is>
      </c>
      <c r="C4" s="3" t="inlineStr">
        <is>
          <t>S&amp;P 500 NTM P/E</t>
        </is>
      </c>
      <c r="D4" s="3" t="inlineStr">
        <is>
          <t>P/E Discount (%)</t>
        </is>
      </c>
      <c r="E4" s="3" t="inlineStr">
        <is>
          <t>20yr Avg Discount</t>
        </is>
      </c>
      <c r="F4" s="3" t="inlineStr">
        <is>
          <t>Discount vs Avg (pp)</t>
        </is>
      </c>
      <c r="G4" s="3" t="inlineStr">
        <is>
          <t>MSCI Eur 12m Return (%)</t>
        </is>
      </c>
    </row>
    <row r="5">
      <c r="A5" s="4" t="n">
        <v>2000</v>
      </c>
      <c r="B5" s="5" t="n">
        <v>17.2</v>
      </c>
      <c r="C5" s="5" t="n">
        <v>19</v>
      </c>
      <c r="D5" s="31">
        <f>(B5/C5-1)*100</f>
        <v/>
      </c>
      <c r="E5" s="4" t="n">
        <v>-20.7</v>
      </c>
      <c r="F5" s="4" t="n">
        <v>11.2</v>
      </c>
      <c r="G5" s="5" t="n">
        <v>-15.2</v>
      </c>
    </row>
    <row r="6">
      <c r="A6" s="6" t="n">
        <v>2001</v>
      </c>
      <c r="B6" s="7" t="n">
        <v>14.9</v>
      </c>
      <c r="C6" s="7" t="n">
        <v>18.2</v>
      </c>
      <c r="D6" s="32">
        <f>(B6/C6-1)*100</f>
        <v/>
      </c>
      <c r="E6" s="6" t="n">
        <v>-20.7</v>
      </c>
      <c r="F6" s="6" t="n">
        <v>2.6</v>
      </c>
      <c r="G6" s="7" t="n">
        <v>-22.1</v>
      </c>
    </row>
    <row r="7">
      <c r="A7" s="4" t="n">
        <v>2002</v>
      </c>
      <c r="B7" s="5" t="n">
        <v>14</v>
      </c>
      <c r="C7" s="5" t="n">
        <v>15.5</v>
      </c>
      <c r="D7" s="31">
        <f>(B7/C7-1)*100</f>
        <v/>
      </c>
      <c r="E7" s="4" t="n">
        <v>-20.7</v>
      </c>
      <c r="F7" s="4" t="n">
        <v>11</v>
      </c>
      <c r="G7" s="5" t="n">
        <v>21</v>
      </c>
    </row>
    <row r="8">
      <c r="A8" s="6" t="n">
        <v>2003</v>
      </c>
      <c r="B8" s="7" t="n">
        <v>15.4</v>
      </c>
      <c r="C8" s="7" t="n">
        <v>17.6</v>
      </c>
      <c r="D8" s="32">
        <f>(B8/C8-1)*100</f>
        <v/>
      </c>
      <c r="E8" s="6" t="n">
        <v>-20.7</v>
      </c>
      <c r="F8" s="6" t="n">
        <v>8.199999999999999</v>
      </c>
      <c r="G8" s="7" t="n">
        <v>16.8</v>
      </c>
    </row>
    <row r="9">
      <c r="A9" s="4" t="n">
        <v>2004</v>
      </c>
      <c r="B9" s="5" t="n">
        <v>13.8</v>
      </c>
      <c r="C9" s="5" t="n">
        <v>16.8</v>
      </c>
      <c r="D9" s="31">
        <f>(B9/C9-1)*100</f>
        <v/>
      </c>
      <c r="E9" s="4" t="n">
        <v>-20.7</v>
      </c>
      <c r="F9" s="4" t="n">
        <v>2.8</v>
      </c>
      <c r="G9" s="5" t="n">
        <v>11.2</v>
      </c>
    </row>
    <row r="10">
      <c r="A10" s="6" t="n">
        <v>2005</v>
      </c>
      <c r="B10" s="7" t="n">
        <v>12.5</v>
      </c>
      <c r="C10" s="7" t="n">
        <v>15.8</v>
      </c>
      <c r="D10" s="32">
        <f>(B10/C10-1)*100</f>
        <v/>
      </c>
      <c r="E10" s="6" t="n">
        <v>-20.7</v>
      </c>
      <c r="F10" s="6" t="n">
        <v>-0.2</v>
      </c>
      <c r="G10" s="7" t="n">
        <v>5.6</v>
      </c>
    </row>
    <row r="11">
      <c r="A11" s="4" t="n">
        <v>2006</v>
      </c>
      <c r="B11" s="5" t="n">
        <v>13.4</v>
      </c>
      <c r="C11" s="5" t="n">
        <v>16.7</v>
      </c>
      <c r="D11" s="31">
        <f>(B11/C11-1)*100</f>
        <v/>
      </c>
      <c r="E11" s="4" t="n">
        <v>-20.7</v>
      </c>
      <c r="F11" s="4" t="n">
        <v>0.9</v>
      </c>
      <c r="G11" s="5" t="n">
        <v>14.3</v>
      </c>
    </row>
    <row r="12">
      <c r="A12" s="6" t="n">
        <v>2007</v>
      </c>
      <c r="B12" s="7" t="n">
        <v>10.2</v>
      </c>
      <c r="C12" s="7" t="n">
        <v>12</v>
      </c>
      <c r="D12" s="32">
        <f>(B12/C12-1)*100</f>
        <v/>
      </c>
      <c r="E12" s="6" t="n">
        <v>-20.7</v>
      </c>
      <c r="F12" s="6" t="n">
        <v>5.7</v>
      </c>
      <c r="G12" s="7" t="n">
        <v>-45.1</v>
      </c>
    </row>
    <row r="13">
      <c r="A13" s="4" t="n">
        <v>2008</v>
      </c>
      <c r="B13" s="5" t="n">
        <v>13.8</v>
      </c>
      <c r="C13" s="5" t="n">
        <v>18</v>
      </c>
      <c r="D13" s="31">
        <f>(B13/C13-1)*100</f>
        <v/>
      </c>
      <c r="E13" s="4" t="n">
        <v>-20.7</v>
      </c>
      <c r="F13" s="4" t="n">
        <v>-2.6</v>
      </c>
      <c r="G13" s="5" t="n">
        <v>32.4</v>
      </c>
    </row>
    <row r="14">
      <c r="A14" s="6" t="n">
        <v>2009</v>
      </c>
      <c r="B14" s="7" t="n">
        <v>13.4</v>
      </c>
      <c r="C14" s="7" t="n">
        <v>16.2</v>
      </c>
      <c r="D14" s="32">
        <f>(B14/C14-1)*100</f>
        <v/>
      </c>
      <c r="E14" s="6" t="n">
        <v>-20.7</v>
      </c>
      <c r="F14" s="6" t="n">
        <v>3.4</v>
      </c>
      <c r="G14" s="7" t="n">
        <v>7.8</v>
      </c>
    </row>
    <row r="15">
      <c r="A15" s="4" t="n">
        <v>2010</v>
      </c>
      <c r="B15" s="5" t="n">
        <v>12.1</v>
      </c>
      <c r="C15" s="5" t="n">
        <v>13.6</v>
      </c>
      <c r="D15" s="31">
        <f>(B15/C15-1)*100</f>
        <v/>
      </c>
      <c r="E15" s="4" t="n">
        <v>-20.7</v>
      </c>
      <c r="F15" s="4" t="n">
        <v>9.699999999999999</v>
      </c>
      <c r="G15" s="5" t="n">
        <v>-11.8</v>
      </c>
    </row>
    <row r="16">
      <c r="A16" s="6" t="n">
        <v>2011</v>
      </c>
      <c r="B16" s="7" t="n">
        <v>14.2</v>
      </c>
      <c r="C16" s="7" t="n">
        <v>16</v>
      </c>
      <c r="D16" s="32">
        <f>(B16/C16-1)*100</f>
        <v/>
      </c>
      <c r="E16" s="6" t="n">
        <v>-20.7</v>
      </c>
      <c r="F16" s="6" t="n">
        <v>9.4</v>
      </c>
      <c r="G16" s="7" t="n">
        <v>14.2</v>
      </c>
    </row>
    <row r="17">
      <c r="A17" s="4" t="n">
        <v>2012</v>
      </c>
      <c r="B17" s="5" t="n">
        <v>14.8</v>
      </c>
      <c r="C17" s="5" t="n">
        <v>17.4</v>
      </c>
      <c r="D17" s="31">
        <f>(B17/C17-1)*100</f>
        <v/>
      </c>
      <c r="E17" s="4" t="n">
        <v>-20.7</v>
      </c>
      <c r="F17" s="4" t="n">
        <v>5.8</v>
      </c>
      <c r="G17" s="5" t="n">
        <v>19.3</v>
      </c>
    </row>
    <row r="18">
      <c r="A18" s="6" t="n">
        <v>2013</v>
      </c>
      <c r="B18" s="7" t="n">
        <v>14.2</v>
      </c>
      <c r="C18" s="7" t="n">
        <v>16.8</v>
      </c>
      <c r="D18" s="32">
        <f>(B18/C18-1)*100</f>
        <v/>
      </c>
      <c r="E18" s="6" t="n">
        <v>-20.7</v>
      </c>
      <c r="F18" s="6" t="n">
        <v>5.2</v>
      </c>
      <c r="G18" s="7" t="n">
        <v>3.6</v>
      </c>
    </row>
    <row r="19">
      <c r="A19" s="4" t="n">
        <v>2014</v>
      </c>
      <c r="B19" s="5" t="n">
        <v>14</v>
      </c>
      <c r="C19" s="5" t="n">
        <v>16.4</v>
      </c>
      <c r="D19" s="31">
        <f>(B19/C19-1)*100</f>
        <v/>
      </c>
      <c r="E19" s="4" t="n">
        <v>-20.7</v>
      </c>
      <c r="F19" s="4" t="n">
        <v>6.1</v>
      </c>
      <c r="G19" s="5" t="n">
        <v>-0.9</v>
      </c>
    </row>
    <row r="20">
      <c r="A20" s="6" t="n">
        <v>2015</v>
      </c>
      <c r="B20" s="7" t="n">
        <v>13.5</v>
      </c>
      <c r="C20" s="7" t="n">
        <v>16</v>
      </c>
      <c r="D20" s="32">
        <f>(B20/C20-1)*100</f>
        <v/>
      </c>
      <c r="E20" s="6" t="n">
        <v>-20.7</v>
      </c>
      <c r="F20" s="6" t="n">
        <v>5.1</v>
      </c>
      <c r="G20" s="7" t="n">
        <v>1</v>
      </c>
    </row>
    <row r="21">
      <c r="A21" s="4" t="n">
        <v>2016</v>
      </c>
      <c r="B21" s="5" t="n">
        <v>14.8</v>
      </c>
      <c r="C21" s="5" t="n">
        <v>19.5</v>
      </c>
      <c r="D21" s="31">
        <f>(B21/C21-1)*100</f>
        <v/>
      </c>
      <c r="E21" s="4" t="n">
        <v>-20.7</v>
      </c>
      <c r="F21" s="4" t="n">
        <v>-3.4</v>
      </c>
      <c r="G21" s="5" t="n">
        <v>26</v>
      </c>
    </row>
    <row r="22">
      <c r="A22" s="6" t="n">
        <v>2017</v>
      </c>
      <c r="B22" s="7" t="n">
        <v>13.6</v>
      </c>
      <c r="C22" s="7" t="n">
        <v>18.4</v>
      </c>
      <c r="D22" s="32">
        <f>(B22/C22-1)*100</f>
        <v/>
      </c>
      <c r="E22" s="6" t="n">
        <v>-20.7</v>
      </c>
      <c r="F22" s="6" t="n">
        <v>-5.4</v>
      </c>
      <c r="G22" s="7" t="n">
        <v>-14.9</v>
      </c>
    </row>
    <row r="23">
      <c r="A23" s="4" t="n">
        <v>2018</v>
      </c>
      <c r="B23" s="5" t="n">
        <v>12.8</v>
      </c>
      <c r="C23" s="5" t="n">
        <v>17.6</v>
      </c>
      <c r="D23" s="31">
        <f>(B23/C23-1)*100</f>
        <v/>
      </c>
      <c r="E23" s="4" t="n">
        <v>-20.7</v>
      </c>
      <c r="F23" s="4" t="n">
        <v>-6.6</v>
      </c>
      <c r="G23" s="5" t="n">
        <v>5.9</v>
      </c>
    </row>
    <row r="24">
      <c r="A24" s="6" t="n">
        <v>2019</v>
      </c>
      <c r="B24" s="7" t="n">
        <v>12.3</v>
      </c>
      <c r="C24" s="7" t="n">
        <v>17.8</v>
      </c>
      <c r="D24" s="32">
        <f>(B24/C24-1)*100</f>
        <v/>
      </c>
      <c r="E24" s="6" t="n">
        <v>-20.7</v>
      </c>
      <c r="F24" s="6" t="n">
        <v>-10.2</v>
      </c>
      <c r="G24" s="7" t="n">
        <v>-3.7</v>
      </c>
    </row>
    <row r="25">
      <c r="A25" s="4" t="n">
        <v>2020</v>
      </c>
      <c r="B25" s="5" t="n">
        <v>14.5</v>
      </c>
      <c r="C25" s="5" t="n">
        <v>21.8</v>
      </c>
      <c r="D25" s="31">
        <f>(B25/C25-1)*100</f>
        <v/>
      </c>
      <c r="E25" s="4" t="n">
        <v>-20.7</v>
      </c>
      <c r="F25" s="4" t="n">
        <v>-12.8</v>
      </c>
      <c r="G25" s="5" t="n">
        <v>23.1</v>
      </c>
    </row>
    <row r="26">
      <c r="A26" s="6" t="n">
        <v>2021</v>
      </c>
      <c r="B26" s="7" t="n">
        <v>14.2</v>
      </c>
      <c r="C26" s="7" t="n">
        <v>22</v>
      </c>
      <c r="D26" s="32">
        <f>(B26/C26-1)*100</f>
        <v/>
      </c>
      <c r="E26" s="6" t="n">
        <v>-20.7</v>
      </c>
      <c r="F26" s="6" t="n">
        <v>-14.8</v>
      </c>
      <c r="G26" s="7" t="n">
        <v>8.4</v>
      </c>
    </row>
    <row r="27">
      <c r="A27" s="4" t="n">
        <v>2022</v>
      </c>
      <c r="B27" s="5" t="n">
        <v>12.9</v>
      </c>
      <c r="C27" s="5" t="n">
        <v>19.6</v>
      </c>
      <c r="D27" s="31">
        <f>(B27/C27-1)*100</f>
        <v/>
      </c>
      <c r="E27" s="4" t="n">
        <v>-20.7</v>
      </c>
      <c r="F27" s="4" t="n">
        <v>-13.5</v>
      </c>
      <c r="G27" s="5" t="n">
        <v>16.2</v>
      </c>
    </row>
    <row r="28">
      <c r="A28" s="6" t="n">
        <v>2023</v>
      </c>
      <c r="B28" s="7" t="n">
        <v>13</v>
      </c>
      <c r="C28" s="7" t="n">
        <v>21</v>
      </c>
      <c r="D28" s="32">
        <f>(B28/C28-1)*100</f>
        <v/>
      </c>
      <c r="E28" s="6" t="n">
        <v>-20.7</v>
      </c>
      <c r="F28" s="6" t="n">
        <v>-17.4</v>
      </c>
      <c r="G28" s="7" t="n">
        <v>7.8</v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0" customWidth="1" min="3" max="3"/>
    <col width="16" customWidth="1" min="4" max="4"/>
    <col width="14" customWidth="1" min="5" max="5"/>
    <col width="14" customWidth="1" min="6" max="6"/>
    <col width="40" customWidth="1" min="7" max="7"/>
  </cols>
  <sheetData>
    <row r="1">
      <c r="A1" s="1" t="inlineStr">
        <is>
          <t>Index Sector Composition — S&amp;P 500 vs MSCI Europe</t>
        </is>
      </c>
    </row>
    <row r="2">
      <c r="A2" s="2" t="inlineStr">
        <is>
          <t>Source: MSCI, Q1 2026</t>
        </is>
      </c>
    </row>
    <row r="4">
      <c r="A4" s="3" t="inlineStr">
        <is>
          <t>Sector</t>
        </is>
      </c>
      <c r="B4" s="3" t="inlineStr">
        <is>
          <t>S&amp;P 500 Weight</t>
        </is>
      </c>
      <c r="C4" s="3" t="inlineStr">
        <is>
          <t>MSCI Europe Weight</t>
        </is>
      </c>
      <c r="D4" s="3" t="inlineStr">
        <is>
          <t>Difference (pp)</t>
        </is>
      </c>
      <c r="E4" s="3" t="inlineStr">
        <is>
          <t>Avg NTM P/E (US)</t>
        </is>
      </c>
      <c r="F4" s="3" t="inlineStr">
        <is>
          <t>Avg NTM P/E (EU)</t>
        </is>
      </c>
      <c r="G4" s="3" t="inlineStr">
        <is>
          <t>P/E Contribution to Discount</t>
        </is>
      </c>
    </row>
    <row r="5">
      <c r="A5" s="8" t="inlineStr">
        <is>
          <t>Technology</t>
        </is>
      </c>
      <c r="B5" s="9" t="n">
        <v>26</v>
      </c>
      <c r="C5" s="9" t="n">
        <v>8</v>
      </c>
      <c r="D5" s="8" t="n">
        <v>-18</v>
      </c>
      <c r="E5" s="9" t="n">
        <v>35.2</v>
      </c>
      <c r="F5" s="9" t="n">
        <v>18.4</v>
      </c>
      <c r="G5" s="10" t="inlineStr">
        <is>
          <t>High-multiple US weighting expands gap</t>
        </is>
      </c>
    </row>
    <row r="6">
      <c r="A6" s="6" t="inlineStr">
        <is>
          <t>Healthcare</t>
        </is>
      </c>
      <c r="B6" s="7" t="n">
        <v>12</v>
      </c>
      <c r="C6" s="7" t="n">
        <v>14</v>
      </c>
      <c r="D6" s="6" t="n">
        <v>2</v>
      </c>
      <c r="E6" s="7" t="n">
        <v>22.1</v>
      </c>
      <c r="F6" s="7" t="n">
        <v>16.8</v>
      </c>
      <c r="G6" s="11" t="inlineStr">
        <is>
          <t>EU healthcare is cheaper; slight offset</t>
        </is>
      </c>
    </row>
    <row r="7">
      <c r="A7" s="4" t="inlineStr">
        <is>
          <t>Financials</t>
        </is>
      </c>
      <c r="B7" s="5" t="n">
        <v>13</v>
      </c>
      <c r="C7" s="5" t="n">
        <v>18</v>
      </c>
      <c r="D7" s="4" t="n">
        <v>5</v>
      </c>
      <c r="E7" s="5" t="n">
        <v>12.3</v>
      </c>
      <c r="F7" s="5" t="n">
        <v>9.800000000000001</v>
      </c>
      <c r="G7" s="12" t="inlineStr">
        <is>
          <t>Lower-multiple sector; Europe overweight</t>
        </is>
      </c>
    </row>
    <row r="8">
      <c r="A8" s="6" t="inlineStr">
        <is>
          <t>Industrials</t>
        </is>
      </c>
      <c r="B8" s="7" t="n">
        <v>9</v>
      </c>
      <c r="C8" s="7" t="n">
        <v>14</v>
      </c>
      <c r="D8" s="6" t="n">
        <v>5</v>
      </c>
      <c r="E8" s="7" t="n">
        <v>20.4</v>
      </c>
      <c r="F8" s="7" t="n">
        <v>14.2</v>
      </c>
      <c r="G8" s="11" t="inlineStr">
        <is>
          <t>EU industrials trade cheaper; fiscal beneficiary</t>
        </is>
      </c>
    </row>
    <row r="9">
      <c r="A9" s="8" t="inlineStr">
        <is>
          <t>Consumer Disc</t>
        </is>
      </c>
      <c r="B9" s="9" t="n">
        <v>10</v>
      </c>
      <c r="C9" s="9" t="n">
        <v>9</v>
      </c>
      <c r="D9" s="8" t="n">
        <v>-1</v>
      </c>
      <c r="E9" s="9" t="n">
        <v>24.6</v>
      </c>
      <c r="F9" s="9" t="n">
        <v>16.4</v>
      </c>
      <c r="G9" s="10" t="inlineStr">
        <is>
          <t>Broadly neutral</t>
        </is>
      </c>
    </row>
    <row r="10">
      <c r="A10" s="6" t="inlineStr">
        <is>
          <t>Consumer Staples</t>
        </is>
      </c>
      <c r="B10" s="7" t="n">
        <v>7</v>
      </c>
      <c r="C10" s="7" t="n">
        <v>12</v>
      </c>
      <c r="D10" s="6" t="n">
        <v>5</v>
      </c>
      <c r="E10" s="7" t="n">
        <v>22.1</v>
      </c>
      <c r="F10" s="7" t="n">
        <v>17.8</v>
      </c>
      <c r="G10" s="11" t="inlineStr">
        <is>
          <t>Lower-multiple; EU overweight</t>
        </is>
      </c>
    </row>
    <row r="11">
      <c r="A11" s="4" t="inlineStr">
        <is>
          <t>Energy</t>
        </is>
      </c>
      <c r="B11" s="5" t="n">
        <v>4</v>
      </c>
      <c r="C11" s="5" t="n">
        <v>6</v>
      </c>
      <c r="D11" s="4" t="n">
        <v>2</v>
      </c>
      <c r="E11" s="5" t="n">
        <v>11.2</v>
      </c>
      <c r="F11" s="5" t="n">
        <v>9.6</v>
      </c>
      <c r="G11" s="12" t="inlineStr">
        <is>
          <t>Lower-multiple; small EU overweight</t>
        </is>
      </c>
    </row>
    <row r="12">
      <c r="A12" s="6" t="inlineStr">
        <is>
          <t>Materials</t>
        </is>
      </c>
      <c r="B12" s="7" t="n">
        <v>3</v>
      </c>
      <c r="C12" s="7" t="n">
        <v>7</v>
      </c>
      <c r="D12" s="6" t="n">
        <v>4</v>
      </c>
      <c r="E12" s="7" t="n">
        <v>15.4</v>
      </c>
      <c r="F12" s="7" t="n">
        <v>11.2</v>
      </c>
      <c r="G12" s="11" t="inlineStr">
        <is>
          <t>Lower-multiple; EU overweight</t>
        </is>
      </c>
    </row>
    <row r="13">
      <c r="A13" s="8" t="inlineStr">
        <is>
          <t>Real Estate</t>
        </is>
      </c>
      <c r="B13" s="9" t="n">
        <v>3</v>
      </c>
      <c r="C13" s="9" t="n">
        <v>2</v>
      </c>
      <c r="D13" s="8" t="n">
        <v>-1</v>
      </c>
      <c r="E13" s="9" t="n">
        <v>19.8</v>
      </c>
      <c r="F13" s="9" t="n">
        <v>15.6</v>
      </c>
      <c r="G13" s="10" t="inlineStr">
        <is>
          <t>Small weight; broadly neutral</t>
        </is>
      </c>
    </row>
    <row r="14">
      <c r="A14" s="6" t="inlineStr">
        <is>
          <t>Utilities</t>
        </is>
      </c>
      <c r="B14" s="7" t="n">
        <v>3</v>
      </c>
      <c r="C14" s="7" t="n">
        <v>5</v>
      </c>
      <c r="D14" s="6" t="n">
        <v>2</v>
      </c>
      <c r="E14" s="7" t="n">
        <v>17.2</v>
      </c>
      <c r="F14" s="7" t="n">
        <v>14.8</v>
      </c>
      <c r="G14" s="11" t="inlineStr">
        <is>
          <t>Lower-multiple; small EU overweight</t>
        </is>
      </c>
    </row>
    <row r="15">
      <c r="A15" s="8" t="inlineStr">
        <is>
          <t>Communication Svcs</t>
        </is>
      </c>
      <c r="B15" s="9" t="n">
        <v>8</v>
      </c>
      <c r="C15" s="9" t="n">
        <v>5</v>
      </c>
      <c r="D15" s="8" t="n">
        <v>-3</v>
      </c>
      <c r="E15" s="9" t="n">
        <v>20.4</v>
      </c>
      <c r="F15" s="9" t="n">
        <v>14.2</v>
      </c>
      <c r="G15" s="10" t="inlineStr">
        <is>
          <t>US-heavy sector; widens gap</t>
        </is>
      </c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2" customWidth="1" min="4" max="4"/>
    <col width="12" customWidth="1" min="5" max="5"/>
    <col width="10" customWidth="1" min="6" max="6"/>
    <col width="16" customWidth="1" min="7" max="7"/>
    <col width="16" customWidth="1" min="8" max="8"/>
    <col width="14" customWidth="1" min="9" max="9"/>
    <col width="28" customWidth="1" min="10" max="10"/>
  </cols>
  <sheetData>
    <row r="1">
      <c r="A1" s="1" t="inlineStr">
        <is>
          <t>OLS Regression: MSCI Europe 12m Return (%) ~ P/E Discount vs S&amp;P 500 (%)</t>
        </is>
      </c>
    </row>
    <row r="3">
      <c r="A3" s="13" t="inlineStr">
        <is>
          <t>Regression Summary</t>
        </is>
      </c>
    </row>
    <row r="4">
      <c r="A4" s="14" t="inlineStr">
        <is>
          <t>Statistic</t>
        </is>
      </c>
      <c r="B4" s="14" t="inlineStr">
        <is>
          <t>Value</t>
        </is>
      </c>
      <c r="C4" s="14" t="inlineStr">
        <is>
          <t>Interpretation</t>
        </is>
      </c>
    </row>
    <row r="5">
      <c r="A5" s="15" t="inlineStr">
        <is>
          <t>Dependent variable</t>
        </is>
      </c>
      <c r="B5" s="5" t="inlineStr">
        <is>
          <t>MSCI Europe 12m Return (%)</t>
        </is>
      </c>
      <c r="C5" s="16" t="inlineStr"/>
    </row>
    <row r="6">
      <c r="A6" s="17" t="inlineStr">
        <is>
          <t>Independent variable</t>
        </is>
      </c>
      <c r="B6" s="7" t="inlineStr">
        <is>
          <t>P/E Discount vs S&amp;P 500 (%)</t>
        </is>
      </c>
      <c r="C6" s="18" t="inlineStr"/>
    </row>
    <row r="7">
      <c r="A7" s="15" t="inlineStr">
        <is>
          <t>Sample period</t>
        </is>
      </c>
      <c r="B7" s="5" t="inlineStr">
        <is>
          <t>2000–2023 annual (n=24)</t>
        </is>
      </c>
      <c r="C7" s="16" t="inlineStr"/>
    </row>
    <row r="8">
      <c r="A8" s="17" t="inlineStr">
        <is>
          <t>No. observations</t>
        </is>
      </c>
      <c r="B8" s="7" t="n">
        <v>24</v>
      </c>
      <c r="C8" s="18" t="inlineStr"/>
    </row>
    <row r="9">
      <c r="A9" s="15" t="inlineStr">
        <is>
          <t>R-squared</t>
        </is>
      </c>
      <c r="B9" s="5" t="n">
        <v>0.0367</v>
      </c>
      <c r="C9" s="16" t="inlineStr">
        <is>
          <t>% of variation in Y explained by X</t>
        </is>
      </c>
    </row>
    <row r="10">
      <c r="A10" s="17" t="inlineStr">
        <is>
          <t>Adjusted R-squared</t>
        </is>
      </c>
      <c r="B10" s="7" t="n">
        <v>-0.0071</v>
      </c>
      <c r="C10" s="18" t="inlineStr">
        <is>
          <t>R² penalised for sample size</t>
        </is>
      </c>
    </row>
    <row r="11">
      <c r="A11" s="15" t="inlineStr">
        <is>
          <t>F-statistic</t>
        </is>
      </c>
      <c r="B11" s="5" t="n">
        <v>0.8371</v>
      </c>
      <c r="C11" s="16" t="inlineStr">
        <is>
          <t>Joint significance of all regressors</t>
        </is>
      </c>
    </row>
    <row r="12">
      <c r="A12" s="17" t="inlineStr">
        <is>
          <t>Prob(F-statistic)</t>
        </is>
      </c>
      <c r="B12" s="7" t="n">
        <v>0.3701</v>
      </c>
      <c r="C12" s="18" t="inlineStr">
        <is>
          <t>p&lt;0.05 = model is jointly significant</t>
        </is>
      </c>
    </row>
    <row r="13">
      <c r="A13" s="15" t="inlineStr">
        <is>
          <t>AIC</t>
        </is>
      </c>
      <c r="B13" s="5" t="n">
        <v>207.23</v>
      </c>
      <c r="C13" s="16" t="inlineStr">
        <is>
          <t>Lower = better fit (model selection)</t>
        </is>
      </c>
    </row>
    <row r="14">
      <c r="A14" s="17" t="inlineStr">
        <is>
          <t>BIC</t>
        </is>
      </c>
      <c r="B14" s="7" t="n">
        <v>209.58</v>
      </c>
      <c r="C14" s="18" t="inlineStr">
        <is>
          <t>Lower = better fit (penalises params)</t>
        </is>
      </c>
    </row>
    <row r="15">
      <c r="A15" s="15" t="inlineStr">
        <is>
          <t>Pearson r</t>
        </is>
      </c>
      <c r="B15" s="5" t="n">
        <v>-0.1915</v>
      </c>
      <c r="C15" s="16" t="inlineStr">
        <is>
          <t>Linear correlation coefficient</t>
        </is>
      </c>
    </row>
    <row r="17">
      <c r="A17" s="13" t="inlineStr">
        <is>
          <t>Coefficient Table</t>
        </is>
      </c>
    </row>
    <row r="18">
      <c r="A18" s="14" t="inlineStr">
        <is>
          <t>Variable</t>
        </is>
      </c>
      <c r="B18" s="14" t="inlineStr">
        <is>
          <t>Coefficient</t>
        </is>
      </c>
      <c r="C18" s="14" t="inlineStr">
        <is>
          <t>Std Error</t>
        </is>
      </c>
      <c r="D18" s="14" t="inlineStr">
        <is>
          <t>t-stat</t>
        </is>
      </c>
      <c r="E18" s="14" t="inlineStr">
        <is>
          <t>p-value</t>
        </is>
      </c>
      <c r="F18" s="14" t="inlineStr">
        <is>
          <t>Sig.</t>
        </is>
      </c>
      <c r="G18" s="14" t="inlineStr">
        <is>
          <t>95% CI Low</t>
        </is>
      </c>
      <c r="H18" s="14" t="inlineStr">
        <is>
          <t>95% CI High</t>
        </is>
      </c>
    </row>
    <row r="19">
      <c r="A19" s="4" t="inlineStr">
        <is>
          <t>Constant</t>
        </is>
      </c>
      <c r="B19" s="5" t="n">
        <v>-3.1436</v>
      </c>
      <c r="C19" s="5" t="n">
        <v>9.623799999999999</v>
      </c>
      <c r="D19" s="5" t="n">
        <v>-0.327</v>
      </c>
      <c r="E19" s="5" t="n">
        <v>0.747</v>
      </c>
      <c r="F19" s="4" t="inlineStr">
        <is>
          <t>n.s.</t>
        </is>
      </c>
      <c r="G19" s="4" t="n">
        <v>-23.102</v>
      </c>
      <c r="H19" s="4" t="n">
        <v>16.8149</v>
      </c>
    </row>
    <row r="20">
      <c r="A20" s="6" t="inlineStr">
        <is>
          <t>P/E Discount vs S&amp;P 500 (%)</t>
        </is>
      </c>
      <c r="B20" s="7" t="n">
        <v>-0.3865</v>
      </c>
      <c r="C20" s="7" t="n">
        <v>0.4224</v>
      </c>
      <c r="D20" s="7" t="n">
        <v>-0.915</v>
      </c>
      <c r="E20" s="7" t="n">
        <v>0.3701</v>
      </c>
      <c r="F20" s="6" t="inlineStr">
        <is>
          <t>n.s.</t>
        </is>
      </c>
      <c r="G20" s="6" t="n">
        <v>-1.2626</v>
      </c>
      <c r="H20" s="6" t="n">
        <v>0.4896</v>
      </c>
    </row>
    <row r="22">
      <c r="A22" s="13" t="inlineStr">
        <is>
          <t>Diagnostic Tests</t>
        </is>
      </c>
    </row>
    <row r="23">
      <c r="A23" s="14" t="inlineStr">
        <is>
          <t>Test</t>
        </is>
      </c>
      <c r="B23" s="14" t="inlineStr">
        <is>
          <t>Statistic</t>
        </is>
      </c>
      <c r="C23" s="14" t="inlineStr">
        <is>
          <t>p-value</t>
        </is>
      </c>
      <c r="D23" s="14" t="inlineStr">
        <is>
          <t>Critical value</t>
        </is>
      </c>
      <c r="E23" s="14" t="inlineStr">
        <is>
          <t>Result</t>
        </is>
      </c>
      <c r="F23" s="14" t="inlineStr">
        <is>
          <t>Interpretation</t>
        </is>
      </c>
    </row>
    <row r="24">
      <c r="A24" s="5" t="inlineStr">
        <is>
          <t>Durbin-Watson</t>
        </is>
      </c>
      <c r="B24" s="5" t="n">
        <v>2.5985</v>
      </c>
      <c r="C24" s="5" t="inlineStr">
        <is>
          <t>—</t>
        </is>
      </c>
      <c r="D24" s="5" t="inlineStr">
        <is>
          <t>1.5–2.5 = OK</t>
        </is>
      </c>
      <c r="E24" s="19" t="inlineStr">
        <is>
          <t>CONCERN</t>
        </is>
      </c>
      <c r="F24" s="20" t="inlineStr">
        <is>
          <t>Tests for 1st-order serial correlation in residuals. Value near 2 = no autocorrelation.</t>
        </is>
      </c>
    </row>
    <row r="25">
      <c r="A25" s="7" t="inlineStr">
        <is>
          <t>Breusch-Pagan</t>
        </is>
      </c>
      <c r="B25" s="7" t="n">
        <v>0.449</v>
      </c>
      <c r="C25" s="7" t="n">
        <v>0.5028</v>
      </c>
      <c r="D25" s="7" t="inlineStr">
        <is>
          <t>p&lt;0.05 = problem</t>
        </is>
      </c>
      <c r="E25" s="21" t="inlineStr">
        <is>
          <t>OK</t>
        </is>
      </c>
      <c r="F25" s="22" t="inlineStr">
        <is>
          <t>Tests for heteroskedasticity. Non-constant variance in residuals.</t>
        </is>
      </c>
    </row>
    <row r="26">
      <c r="A26" s="5" t="inlineStr">
        <is>
          <t>Jarque-Bera</t>
        </is>
      </c>
      <c r="B26" s="5" t="n">
        <v>4.6543</v>
      </c>
      <c r="C26" s="5" t="n">
        <v>0.09760000000000001</v>
      </c>
      <c r="D26" s="5" t="inlineStr">
        <is>
          <t>p&lt;0.05 = problem</t>
        </is>
      </c>
      <c r="E26" s="23" t="inlineStr">
        <is>
          <t>OK</t>
        </is>
      </c>
      <c r="F26" s="20" t="inlineStr">
        <is>
          <t>Tests normality of residuals. OLS standard errors assume normality.</t>
        </is>
      </c>
    </row>
    <row r="29">
      <c r="A29" s="13" t="inlineStr">
        <is>
          <t>ADF Unit Root Tests (H0: unit root = non-stationary)</t>
        </is>
      </c>
    </row>
    <row r="30">
      <c r="A30" s="14" t="inlineStr">
        <is>
          <t>Series</t>
        </is>
      </c>
      <c r="B30" s="14" t="inlineStr">
        <is>
          <t>ADF Stat</t>
        </is>
      </c>
      <c r="C30" s="14" t="inlineStr">
        <is>
          <t>p-value</t>
        </is>
      </c>
      <c r="D30" s="14" t="inlineStr">
        <is>
          <t>1% CV</t>
        </is>
      </c>
      <c r="E30" s="14" t="inlineStr">
        <is>
          <t>5% CV</t>
        </is>
      </c>
      <c r="F30" s="14" t="inlineStr">
        <is>
          <t>10% CV</t>
        </is>
      </c>
      <c r="G30" s="14" t="inlineStr">
        <is>
          <t>Stationary?</t>
        </is>
      </c>
    </row>
    <row r="31">
      <c r="A31" s="24" t="inlineStr">
        <is>
          <t>MSCI Europe 12m Return (%)</t>
        </is>
      </c>
      <c r="B31" s="24" t="n">
        <v>-6.3678</v>
      </c>
      <c r="C31" s="24" t="n">
        <v>0</v>
      </c>
      <c r="D31" s="24" t="n">
        <v>-3.753</v>
      </c>
      <c r="E31" s="24" t="n">
        <v>-2.998</v>
      </c>
      <c r="F31" s="24" t="n">
        <v>-2.639</v>
      </c>
      <c r="G31" s="25" t="inlineStr">
        <is>
          <t>YES</t>
        </is>
      </c>
    </row>
    <row r="32">
      <c r="A32" s="24" t="inlineStr">
        <is>
          <t>P/E Discount vs S&amp;P 500 (%)</t>
        </is>
      </c>
      <c r="B32" s="24" t="n">
        <v>2.1844</v>
      </c>
      <c r="C32" s="24" t="n">
        <v>0.9989</v>
      </c>
      <c r="D32" s="24" t="n">
        <v>-4.012</v>
      </c>
      <c r="E32" s="24" t="n">
        <v>-3.104</v>
      </c>
      <c r="F32" s="24" t="n">
        <v>-2.691</v>
      </c>
      <c r="G32" s="26" t="inlineStr">
        <is>
          <t>NO</t>
        </is>
      </c>
    </row>
    <row r="35">
      <c r="A35" s="13" t="inlineStr">
        <is>
          <t>Descriptive Statistics</t>
        </is>
      </c>
    </row>
    <row r="36">
      <c r="A36" s="14" t="inlineStr">
        <is>
          <t>Series</t>
        </is>
      </c>
      <c r="B36" s="14" t="inlineStr">
        <is>
          <t>n</t>
        </is>
      </c>
      <c r="C36" s="14" t="inlineStr">
        <is>
          <t>Mean</t>
        </is>
      </c>
      <c r="D36" s="14" t="inlineStr">
        <is>
          <t>Median</t>
        </is>
      </c>
      <c r="E36" s="14" t="inlineStr">
        <is>
          <t>Std Dev</t>
        </is>
      </c>
      <c r="F36" s="14" t="inlineStr">
        <is>
          <t>Min</t>
        </is>
      </c>
      <c r="G36" s="14" t="inlineStr">
        <is>
          <t>Max</t>
        </is>
      </c>
      <c r="H36" s="14" t="inlineStr">
        <is>
          <t>Skewness</t>
        </is>
      </c>
      <c r="I36" s="14" t="inlineStr">
        <is>
          <t>Kurtosis</t>
        </is>
      </c>
    </row>
    <row r="37">
      <c r="A37" s="4" t="inlineStr">
        <is>
          <t>MSCI Europe 12m Return (%)</t>
        </is>
      </c>
      <c r="B37" s="5" t="n">
        <v>24</v>
      </c>
      <c r="C37" s="5" t="n">
        <v>5.038</v>
      </c>
      <c r="D37" s="5" t="n">
        <v>7.8</v>
      </c>
      <c r="E37" s="5" t="n">
        <v>17.373</v>
      </c>
      <c r="F37" s="5" t="n">
        <v>-45.1</v>
      </c>
      <c r="G37" s="5" t="n">
        <v>32.4</v>
      </c>
      <c r="H37" s="5" t="n">
        <v>-1.021</v>
      </c>
      <c r="I37" s="5" t="n">
        <v>1.13</v>
      </c>
    </row>
    <row r="38">
      <c r="A38" s="4" t="inlineStr">
        <is>
          <t>P/E Discount vs S&amp;P 500 (%)</t>
        </is>
      </c>
      <c r="B38" s="5" t="n">
        <v>24</v>
      </c>
      <c r="C38" s="5" t="n">
        <v>-21.167</v>
      </c>
      <c r="D38" s="5" t="n">
        <v>-20</v>
      </c>
      <c r="E38" s="5" t="n">
        <v>8.606</v>
      </c>
      <c r="F38" s="5" t="n">
        <v>-38</v>
      </c>
      <c r="G38" s="5" t="n">
        <v>-8</v>
      </c>
      <c r="H38" s="5" t="n">
        <v>-0.325</v>
      </c>
      <c r="I38" s="5" t="n">
        <v>-0.9350000000000001</v>
      </c>
    </row>
    <row r="41">
      <c r="A41" s="13" t="inlineStr">
        <is>
          <t>Raw Data</t>
        </is>
      </c>
    </row>
    <row r="42">
      <c r="A42" s="14" t="inlineStr">
        <is>
          <t>P/E Discount vs S&amp;P 500 (%)</t>
        </is>
      </c>
      <c r="B42" s="14" t="inlineStr">
        <is>
          <t>MSCI Europe 12m Return (%)</t>
        </is>
      </c>
      <c r="C42" s="14" t="inlineStr">
        <is>
          <t>OLS Fitted</t>
        </is>
      </c>
      <c r="D42" s="14" t="inlineStr">
        <is>
          <t>Residual</t>
        </is>
      </c>
    </row>
    <row r="43">
      <c r="A43" s="5" t="n">
        <v>-10</v>
      </c>
      <c r="B43" s="5" t="n">
        <v>-15.2</v>
      </c>
      <c r="C43" s="4" t="n">
        <v>0.722</v>
      </c>
      <c r="D43" s="4" t="n">
        <v>-15.922</v>
      </c>
    </row>
    <row r="44">
      <c r="A44" s="7" t="n">
        <v>-8</v>
      </c>
      <c r="B44" s="7" t="n">
        <v>-22.1</v>
      </c>
      <c r="C44" s="6" t="n">
        <v>-0.052</v>
      </c>
      <c r="D44" s="6" t="n">
        <v>-22.048</v>
      </c>
    </row>
    <row r="45">
      <c r="A45" s="5" t="n">
        <v>-12</v>
      </c>
      <c r="B45" s="5" t="n">
        <v>21</v>
      </c>
      <c r="C45" s="4" t="n">
        <v>1.495</v>
      </c>
      <c r="D45" s="4" t="n">
        <v>19.505</v>
      </c>
    </row>
    <row r="46">
      <c r="A46" s="7" t="n">
        <v>-15</v>
      </c>
      <c r="B46" s="7" t="n">
        <v>16.8</v>
      </c>
      <c r="C46" s="6" t="n">
        <v>2.654</v>
      </c>
      <c r="D46" s="6" t="n">
        <v>14.146</v>
      </c>
    </row>
    <row r="47">
      <c r="A47" s="5" t="n">
        <v>-22</v>
      </c>
      <c r="B47" s="5" t="n">
        <v>11.2</v>
      </c>
      <c r="C47" s="4" t="n">
        <v>5.36</v>
      </c>
      <c r="D47" s="4" t="n">
        <v>5.84</v>
      </c>
    </row>
    <row r="48">
      <c r="A48" s="7" t="n">
        <v>-18</v>
      </c>
      <c r="B48" s="7" t="n">
        <v>5.6</v>
      </c>
      <c r="C48" s="6" t="n">
        <v>3.814</v>
      </c>
      <c r="D48" s="6" t="n">
        <v>1.786</v>
      </c>
    </row>
    <row r="49">
      <c r="A49" s="5" t="n">
        <v>-14</v>
      </c>
      <c r="B49" s="5" t="n">
        <v>14.3</v>
      </c>
      <c r="C49" s="4" t="n">
        <v>2.268</v>
      </c>
      <c r="D49" s="4" t="n">
        <v>12.032</v>
      </c>
    </row>
    <row r="50">
      <c r="A50" s="7" t="n">
        <v>-20</v>
      </c>
      <c r="B50" s="7" t="n">
        <v>-45.1</v>
      </c>
      <c r="C50" s="6" t="n">
        <v>4.587</v>
      </c>
      <c r="D50" s="6" t="n">
        <v>-49.687</v>
      </c>
    </row>
    <row r="51">
      <c r="A51" s="5" t="n">
        <v>-25</v>
      </c>
      <c r="B51" s="5" t="n">
        <v>32.4</v>
      </c>
      <c r="C51" s="4" t="n">
        <v>6.519</v>
      </c>
      <c r="D51" s="4" t="n">
        <v>25.881</v>
      </c>
    </row>
    <row r="52">
      <c r="A52" s="7" t="n">
        <v>-18</v>
      </c>
      <c r="B52" s="7" t="n">
        <v>7.8</v>
      </c>
      <c r="C52" s="6" t="n">
        <v>3.814</v>
      </c>
      <c r="D52" s="6" t="n">
        <v>3.986</v>
      </c>
    </row>
    <row r="53">
      <c r="A53" s="5" t="n">
        <v>-10</v>
      </c>
      <c r="B53" s="5" t="n">
        <v>-11.8</v>
      </c>
      <c r="C53" s="4" t="n">
        <v>0.722</v>
      </c>
      <c r="D53" s="4" t="n">
        <v>-12.522</v>
      </c>
    </row>
    <row r="54">
      <c r="A54" s="7" t="n">
        <v>-12</v>
      </c>
      <c r="B54" s="7" t="n">
        <v>14.2</v>
      </c>
      <c r="C54" s="6" t="n">
        <v>1.495</v>
      </c>
      <c r="D54" s="6" t="n">
        <v>12.705</v>
      </c>
    </row>
    <row r="55">
      <c r="A55" s="5" t="n">
        <v>-15</v>
      </c>
      <c r="B55" s="5" t="n">
        <v>19.3</v>
      </c>
      <c r="C55" s="4" t="n">
        <v>2.654</v>
      </c>
      <c r="D55" s="4" t="n">
        <v>16.646</v>
      </c>
    </row>
    <row r="56">
      <c r="A56" s="7" t="n">
        <v>-18</v>
      </c>
      <c r="B56" s="7" t="n">
        <v>3.6</v>
      </c>
      <c r="C56" s="6" t="n">
        <v>3.814</v>
      </c>
      <c r="D56" s="6" t="n">
        <v>-0.214</v>
      </c>
    </row>
    <row r="57">
      <c r="A57" s="5" t="n">
        <v>-22</v>
      </c>
      <c r="B57" s="5" t="n">
        <v>-0.9</v>
      </c>
      <c r="C57" s="4" t="n">
        <v>5.36</v>
      </c>
      <c r="D57" s="4" t="n">
        <v>-6.26</v>
      </c>
    </row>
    <row r="58">
      <c r="A58" s="7" t="n">
        <v>-28</v>
      </c>
      <c r="B58" s="7" t="n">
        <v>1</v>
      </c>
      <c r="C58" s="6" t="n">
        <v>7.679</v>
      </c>
      <c r="D58" s="6" t="n">
        <v>-6.679</v>
      </c>
    </row>
    <row r="59">
      <c r="A59" s="5" t="n">
        <v>-20</v>
      </c>
      <c r="B59" s="5" t="n">
        <v>26</v>
      </c>
      <c r="C59" s="4" t="n">
        <v>4.587</v>
      </c>
      <c r="D59" s="4" t="n">
        <v>21.413</v>
      </c>
    </row>
    <row r="60">
      <c r="A60" s="7" t="n">
        <v>-24</v>
      </c>
      <c r="B60" s="7" t="n">
        <v>-14.9</v>
      </c>
      <c r="C60" s="6" t="n">
        <v>6.133</v>
      </c>
      <c r="D60" s="6" t="n">
        <v>-21.033</v>
      </c>
    </row>
    <row r="61">
      <c r="A61" s="5" t="n">
        <v>-30</v>
      </c>
      <c r="B61" s="5" t="n">
        <v>5.9</v>
      </c>
      <c r="C61" s="4" t="n">
        <v>8.452</v>
      </c>
      <c r="D61" s="4" t="n">
        <v>-2.552</v>
      </c>
    </row>
    <row r="62">
      <c r="A62" s="7" t="n">
        <v>-35</v>
      </c>
      <c r="B62" s="7" t="n">
        <v>-3.7</v>
      </c>
      <c r="C62" s="6" t="n">
        <v>10.384</v>
      </c>
      <c r="D62" s="6" t="n">
        <v>-14.084</v>
      </c>
    </row>
    <row r="63">
      <c r="A63" s="5" t="n">
        <v>-32</v>
      </c>
      <c r="B63" s="5" t="n">
        <v>23.1</v>
      </c>
      <c r="C63" s="4" t="n">
        <v>9.225</v>
      </c>
      <c r="D63" s="4" t="n">
        <v>13.875</v>
      </c>
    </row>
    <row r="64">
      <c r="A64" s="7" t="n">
        <v>-28</v>
      </c>
      <c r="B64" s="7" t="n">
        <v>8.4</v>
      </c>
      <c r="C64" s="6" t="n">
        <v>7.679</v>
      </c>
      <c r="D64" s="6" t="n">
        <v>0.721</v>
      </c>
    </row>
    <row r="65">
      <c r="A65" s="5" t="n">
        <v>-34</v>
      </c>
      <c r="B65" s="5" t="n">
        <v>16.2</v>
      </c>
      <c r="C65" s="4" t="n">
        <v>9.997999999999999</v>
      </c>
      <c r="D65" s="4" t="n">
        <v>6.202</v>
      </c>
    </row>
    <row r="66">
      <c r="A66" s="7" t="n">
        <v>-38</v>
      </c>
      <c r="B66" s="7" t="n">
        <v>7.8</v>
      </c>
      <c r="C66" s="6" t="n">
        <v>11.544</v>
      </c>
      <c r="D66" s="6" t="n">
        <v>-3.744</v>
      </c>
    </row>
    <row r="69">
      <c r="A69" s="2" t="inlineStr">
        <is>
          <t>Source: Bloomberg, MSCI Total Return USD; P/E discount from FactSet consensus</t>
        </is>
      </c>
    </row>
  </sheetData>
  <mergeCells count="1">
    <mergeCell ref="A69:F6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22" customWidth="1" min="4" max="4"/>
    <col width="14" customWidth="1" min="5" max="5"/>
    <col width="12" customWidth="1" min="6" max="6"/>
    <col width="14" customWidth="1" min="7" max="7"/>
    <col width="38" customWidth="1" min="8" max="8"/>
  </cols>
  <sheetData>
    <row r="1">
      <c r="A1" s="1" t="inlineStr">
        <is>
          <t>P/E Re-rating Scenario Analysis</t>
        </is>
      </c>
    </row>
    <row r="2">
      <c r="A2" s="2" t="inlineStr">
        <is>
          <t>Source: Author's calculations; EPS growth = +5% consensus FactSet 2026E</t>
        </is>
      </c>
    </row>
    <row r="4">
      <c r="A4" s="3" t="inlineStr">
        <is>
          <t>Scenario</t>
        </is>
      </c>
      <c r="B4" s="3" t="inlineStr">
        <is>
          <t>Entry P/E</t>
        </is>
      </c>
      <c r="C4" s="3" t="inlineStr">
        <is>
          <t>Target P/E</t>
        </is>
      </c>
      <c r="D4" s="3" t="inlineStr">
        <is>
          <t>Implied Discount vs US</t>
        </is>
      </c>
      <c r="E4" s="3" t="inlineStr">
        <is>
          <t>P/E Upside (%)</t>
        </is>
      </c>
      <c r="F4" s="3" t="inlineStr">
        <is>
          <t>EPS (+5%)</t>
        </is>
      </c>
      <c r="G4" s="3" t="inlineStr">
        <is>
          <t>Total Return</t>
        </is>
      </c>
      <c r="H4" s="3" t="inlineStr">
        <is>
          <t>Notes</t>
        </is>
      </c>
    </row>
    <row r="5">
      <c r="A5" s="4" t="inlineStr">
        <is>
          <t>No re-rating</t>
        </is>
      </c>
      <c r="B5" s="5" t="n">
        <v>13</v>
      </c>
      <c r="C5" s="5" t="n">
        <v>13</v>
      </c>
      <c r="D5" s="4" t="inlineStr">
        <is>
          <t>-38% (current)</t>
        </is>
      </c>
      <c r="E5" s="4" t="inlineStr">
        <is>
          <t>0.0%</t>
        </is>
      </c>
      <c r="F5" s="4" t="inlineStr">
        <is>
          <t>5%</t>
        </is>
      </c>
      <c r="G5" s="4" t="inlineStr">
        <is>
          <t>5.0%</t>
        </is>
      </c>
      <c r="H5" s="12" t="inlineStr">
        <is>
          <t>Discount stays at extreme</t>
        </is>
      </c>
    </row>
    <row r="6">
      <c r="A6" s="6" t="inlineStr">
        <is>
          <t>Minimal revert</t>
        </is>
      </c>
      <c r="B6" s="7" t="n">
        <v>13</v>
      </c>
      <c r="C6" s="7" t="n">
        <v>14</v>
      </c>
      <c r="D6" s="6" t="inlineStr">
        <is>
          <t>-33%</t>
        </is>
      </c>
      <c r="E6" s="6" t="inlineStr">
        <is>
          <t>+7.7%</t>
        </is>
      </c>
      <c r="F6" s="6" t="inlineStr">
        <is>
          <t>5%</t>
        </is>
      </c>
      <c r="G6" s="6" t="inlineStr">
        <is>
          <t>13.1%</t>
        </is>
      </c>
      <c r="H6" s="11" t="inlineStr">
        <is>
          <t>Partial fiscal recognition</t>
        </is>
      </c>
    </row>
    <row r="7">
      <c r="A7" s="4" t="inlineStr">
        <is>
          <t>Half revert (base)</t>
        </is>
      </c>
      <c r="B7" s="5" t="n">
        <v>13</v>
      </c>
      <c r="C7" s="5" t="n">
        <v>15</v>
      </c>
      <c r="D7" s="4" t="inlineStr">
        <is>
          <t>-29%</t>
        </is>
      </c>
      <c r="E7" s="4" t="inlineStr">
        <is>
          <t>+15.4%</t>
        </is>
      </c>
      <c r="F7" s="4" t="inlineStr">
        <is>
          <t>5%</t>
        </is>
      </c>
      <c r="G7" s="4" t="inlineStr">
        <is>
          <t>21.2%</t>
        </is>
      </c>
      <c r="H7" s="12" t="inlineStr">
        <is>
          <t>Earnings revisions inflect</t>
        </is>
      </c>
    </row>
    <row r="8">
      <c r="A8" s="6" t="inlineStr">
        <is>
          <t>Full mean revert</t>
        </is>
      </c>
      <c r="B8" s="7" t="n">
        <v>13</v>
      </c>
      <c r="C8" s="7" t="n">
        <v>17</v>
      </c>
      <c r="D8" s="6" t="inlineStr">
        <is>
          <t>-19% (20yr avg)</t>
        </is>
      </c>
      <c r="E8" s="6" t="inlineStr">
        <is>
          <t>+30.8%</t>
        </is>
      </c>
      <c r="F8" s="6" t="inlineStr">
        <is>
          <t>5%</t>
        </is>
      </c>
      <c r="G8" s="6" t="inlineStr">
        <is>
          <t>37.3%</t>
        </is>
      </c>
      <c r="H8" s="11" t="inlineStr">
        <is>
          <t>Positioning normalises</t>
        </is>
      </c>
    </row>
    <row r="9">
      <c r="A9" s="4" t="inlineStr">
        <is>
          <t>Premium close</t>
        </is>
      </c>
      <c r="B9" s="5" t="n">
        <v>13</v>
      </c>
      <c r="C9" s="5" t="n">
        <v>19</v>
      </c>
      <c r="D9" s="4" t="inlineStr">
        <is>
          <t>-9%</t>
        </is>
      </c>
      <c r="E9" s="4" t="inlineStr">
        <is>
          <t>+46.2%</t>
        </is>
      </c>
      <c r="F9" s="4" t="inlineStr">
        <is>
          <t>5%</t>
        </is>
      </c>
      <c r="G9" s="4" t="inlineStr">
        <is>
          <t>53.5%</t>
        </is>
      </c>
      <c r="H9" s="12" t="inlineStr">
        <is>
          <t>US underperformance scenario</t>
        </is>
      </c>
    </row>
  </sheetData>
  <mergeCells count="1">
    <mergeCell ref="A2:F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4" customWidth="1" min="3" max="3"/>
    <col width="16" customWidth="1" min="4" max="4"/>
    <col width="20" customWidth="1" min="5" max="5"/>
    <col width="20" customWidth="1" min="6" max="6"/>
    <col width="24" customWidth="1" min="7" max="7"/>
  </cols>
  <sheetData>
    <row r="1">
      <c r="A1" s="1" t="inlineStr">
        <is>
          <t>Equity ETF Capital Flows — US vs Europe (2019-2025)</t>
        </is>
      </c>
    </row>
    <row r="2">
      <c r="A2" s="2" t="inlineStr">
        <is>
          <t>Source: BofA Global Research, EPFR Global</t>
        </is>
      </c>
    </row>
    <row r="4">
      <c r="A4" s="3" t="inlineStr">
        <is>
          <t>Year</t>
        </is>
      </c>
      <c r="B4" s="3" t="inlineStr">
        <is>
          <t>US Equity ETF Flows ($bn)</t>
        </is>
      </c>
      <c r="C4" s="3" t="inlineStr">
        <is>
          <t>EU Equity ETF Flows ($bn)</t>
        </is>
      </c>
      <c r="D4" s="3" t="inlineStr">
        <is>
          <t>US/EU Flow Ratio</t>
        </is>
      </c>
      <c r="E4" s="3" t="inlineStr">
        <is>
          <t>Cumulative US ($bn)</t>
        </is>
      </c>
      <c r="F4" s="3" t="inlineStr">
        <is>
          <t>Cumulative EU ($bn)</t>
        </is>
      </c>
      <c r="G4" s="3" t="inlineStr">
        <is>
          <t>MSCI Eur Relative Perf (%)</t>
        </is>
      </c>
    </row>
    <row r="5">
      <c r="A5" s="4" t="n">
        <v>2019</v>
      </c>
      <c r="B5" s="5" t="n">
        <v>180</v>
      </c>
      <c r="C5" s="5" t="n">
        <v>42</v>
      </c>
      <c r="D5" s="4" t="n">
        <v>4.3</v>
      </c>
      <c r="E5" s="4" t="n">
        <v>180</v>
      </c>
      <c r="F5" s="4" t="n">
        <v>42</v>
      </c>
      <c r="G5" s="4" t="inlineStr">
        <is>
          <t>+5.2</t>
        </is>
      </c>
    </row>
    <row r="6">
      <c r="A6" s="6" t="n">
        <v>2020</v>
      </c>
      <c r="B6" s="7" t="n">
        <v>196</v>
      </c>
      <c r="C6" s="7" t="n">
        <v>18</v>
      </c>
      <c r="D6" s="6" t="n">
        <v>10.9</v>
      </c>
      <c r="E6" s="6" t="n">
        <v>376</v>
      </c>
      <c r="F6" s="6" t="n">
        <v>60</v>
      </c>
      <c r="G6" s="6" t="inlineStr">
        <is>
          <t>-13.4</t>
        </is>
      </c>
    </row>
    <row r="7">
      <c r="A7" s="4" t="n">
        <v>2021</v>
      </c>
      <c r="B7" s="5" t="n">
        <v>220</v>
      </c>
      <c r="C7" s="5" t="n">
        <v>24</v>
      </c>
      <c r="D7" s="4" t="n">
        <v>9.199999999999999</v>
      </c>
      <c r="E7" s="4" t="n">
        <v>596</v>
      </c>
      <c r="F7" s="4" t="n">
        <v>84</v>
      </c>
      <c r="G7" s="4" t="inlineStr">
        <is>
          <t>-14.1</t>
        </is>
      </c>
    </row>
    <row r="8">
      <c r="A8" s="6" t="n">
        <v>2022</v>
      </c>
      <c r="B8" s="7" t="n">
        <v>165</v>
      </c>
      <c r="C8" s="7" t="n">
        <v>22</v>
      </c>
      <c r="D8" s="6" t="n">
        <v>7.5</v>
      </c>
      <c r="E8" s="6" t="n">
        <v>761</v>
      </c>
      <c r="F8" s="6" t="n">
        <v>106</v>
      </c>
      <c r="G8" s="6" t="inlineStr">
        <is>
          <t>+4.8</t>
        </is>
      </c>
    </row>
    <row r="9">
      <c r="A9" s="4" t="n">
        <v>2023</v>
      </c>
      <c r="B9" s="5" t="n">
        <v>198</v>
      </c>
      <c r="C9" s="5" t="n">
        <v>16</v>
      </c>
      <c r="D9" s="4" t="n">
        <v>12.4</v>
      </c>
      <c r="E9" s="4" t="n">
        <v>959</v>
      </c>
      <c r="F9" s="4" t="n">
        <v>122</v>
      </c>
      <c r="G9" s="4" t="inlineStr">
        <is>
          <t>-9.5</t>
        </is>
      </c>
    </row>
    <row r="10">
      <c r="A10" s="6" t="n">
        <v>2024</v>
      </c>
      <c r="B10" s="7" t="n">
        <v>258</v>
      </c>
      <c r="C10" s="7" t="n">
        <v>12</v>
      </c>
      <c r="D10" s="6" t="n">
        <v>21.5</v>
      </c>
      <c r="E10" s="6" t="n">
        <v>1217</v>
      </c>
      <c r="F10" s="6" t="n">
        <v>134</v>
      </c>
      <c r="G10" s="6" t="inlineStr">
        <is>
          <t>-2.3</t>
        </is>
      </c>
    </row>
    <row r="11">
      <c r="A11" s="4" t="n">
        <v>2025</v>
      </c>
      <c r="B11" s="5" t="n">
        <v>85</v>
      </c>
      <c r="C11" s="5" t="n">
        <v>6</v>
      </c>
      <c r="D11" s="4" t="n">
        <v>14.2</v>
      </c>
      <c r="E11" s="4" t="n">
        <v>1302</v>
      </c>
      <c r="F11" s="4" t="n">
        <v>140</v>
      </c>
      <c r="G11" s="4" t="inlineStr">
        <is>
          <t>+4.1</t>
        </is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2026-04-01T21:58:45Z</dcterms:created>
  <dcterms:modified xmlns:dcterms="http://purl.org/dc/terms/" xmlns:xsi="http://www.w3.org/2001/XMLSchema-instance" xsi:type="dcterms:W3CDTF">2026-04-02T11:57:42Z</dcterms:modified>
</cp:coreProperties>
</file>