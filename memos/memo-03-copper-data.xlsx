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0_Assumptions_Source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Supply_Demand" sheetId="3" state="visible" r:id="rId3"/>
    <sheet xmlns:r="http://schemas.openxmlformats.org/officeDocument/2006/relationships" name="Mine_Pipeline" sheetId="4" state="visible" r:id="rId4"/>
    <sheet xmlns:r="http://schemas.openxmlformats.org/officeDocument/2006/relationships" name="Miner_Comps" sheetId="5" state="visible" r:id="rId5"/>
    <sheet xmlns:r="http://schemas.openxmlformats.org/officeDocument/2006/relationships" name="Price_DXY" sheetId="6" state="visible" r:id="rId6"/>
    <sheet xmlns:r="http://schemas.openxmlformats.org/officeDocument/2006/relationships" name="OLS_DXY_Copper" sheetId="7" state="visible" r:id="rId7"/>
    <sheet xmlns:r="http://schemas.openxmlformats.org/officeDocument/2006/relationships" name="LME_SHFE_Inventory" sheetId="8" state="visible" r:id="rId8"/>
    <sheet xmlns:r="http://schemas.openxmlformats.org/officeDocument/2006/relationships" name="Descriptive_Stats" sheetId="9" state="visible" r:id="rId9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6">
    <numFmt numFmtId="164" formatCode="0.00;\(0.00\);\-"/>
    <numFmt numFmtId="165" formatCode="0.0\x"/>
    <numFmt numFmtId="166" formatCode="0.0%;\(0.0%\);\-"/>
    <numFmt numFmtId="167" formatCode="\$0.00"/>
    <numFmt numFmtId="168" formatCode="\$#,##0"/>
    <numFmt numFmtId="169" formatCode="0.0"/>
  </numFmts>
  <fonts count="3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2"/>
    </font>
    <font>
      <name val="Arial"/>
      <charset val="1"/>
      <family val="0"/>
      <i val="1"/>
      <color rgb="FFFFFFFF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FFFFFF"/>
      <sz val="9"/>
    </font>
    <font>
      <name val="Arial"/>
      <charset val="1"/>
      <family val="0"/>
      <b val="1"/>
      <color rgb="FF000000"/>
      <sz val="9"/>
    </font>
    <font>
      <name val="Arial"/>
      <charset val="1"/>
      <family val="0"/>
      <color rgb="FF0000FF"/>
      <sz val="9"/>
    </font>
    <font>
      <name val="Arial"/>
      <charset val="1"/>
      <family val="0"/>
      <i val="1"/>
      <color rgb="FF000000"/>
      <sz val="8"/>
    </font>
    <font>
      <name val="Arial"/>
      <charset val="1"/>
      <family val="0"/>
      <color rgb="FF000000"/>
      <sz val="9"/>
    </font>
    <font>
      <name val="Arial"/>
      <charset val="1"/>
      <family val="0"/>
      <b val="1"/>
      <color rgb="FFFFFFFF"/>
      <sz val="8"/>
    </font>
    <font>
      <name val="Arial"/>
      <charset val="1"/>
      <family val="0"/>
      <i val="1"/>
      <color rgb="FF1E6FA8"/>
      <sz val="8"/>
    </font>
    <font>
      <name val="Arial"/>
      <charset val="1"/>
      <family val="0"/>
      <i val="1"/>
      <color rgb="FF1A3A5C"/>
      <sz val="8"/>
    </font>
    <font>
      <name val="Arial"/>
      <charset val="1"/>
      <family val="0"/>
      <b val="1"/>
      <color rgb="FF000000"/>
      <sz val="8"/>
    </font>
    <font>
      <name val="Arial"/>
      <charset val="1"/>
      <family val="0"/>
      <i val="1"/>
      <color rgb="FF000000"/>
      <sz val="7"/>
    </font>
    <font>
      <name val="Arial"/>
      <charset val="1"/>
      <family val="0"/>
      <i val="1"/>
      <color rgb="FF000000"/>
      <sz val="9"/>
    </font>
    <font>
      <name val="Arial"/>
      <charset val="1"/>
      <family val="0"/>
      <b val="1"/>
      <i val="1"/>
      <color rgb="FFC0392B"/>
      <sz val="8"/>
    </font>
    <font>
      <name val="Arial"/>
      <charset val="1"/>
      <family val="0"/>
      <b val="1"/>
      <color rgb="FFC0392B"/>
      <sz val="9"/>
    </font>
    <font>
      <name val="Calibri"/>
      <b val="1"/>
      <color rgb="000D1B2A"/>
      <sz val="13"/>
    </font>
    <font>
      <name val="Calibri"/>
      <b val="1"/>
      <color rgb="001B4F72"/>
      <sz val="11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0000FF"/>
      <sz val="10"/>
    </font>
    <font>
      <name val="Calibri"/>
      <i val="1"/>
      <color rgb="00000000"/>
      <sz val="10"/>
    </font>
    <font>
      <name val="Calibri"/>
      <color rgb="00000000"/>
      <sz val="10"/>
    </font>
    <font>
      <name val="Calibri"/>
      <color rgb="00B83232"/>
      <sz val="10"/>
    </font>
    <font>
      <name val="Calibri"/>
      <color rgb="001A7A40"/>
      <sz val="10"/>
    </font>
    <font>
      <name val="Calibri"/>
      <i val="1"/>
      <color rgb="00666666"/>
      <sz val="9"/>
    </font>
    <font>
      <name val="Calibri"/>
      <b val="1"/>
      <color rgb="000D1B2A"/>
      <sz val="14"/>
    </font>
    <font>
      <name val="Calibri"/>
      <b val="1"/>
      <color rgb="000D1B2A"/>
      <sz val="12"/>
    </font>
    <font>
      <name val="Calibri"/>
      <i val="1"/>
      <color rgb="00444444"/>
      <sz val="9"/>
    </font>
  </fonts>
  <fills count="13">
    <fill>
      <patternFill/>
    </fill>
    <fill>
      <patternFill patternType="gray125"/>
    </fill>
    <fill>
      <patternFill patternType="solid">
        <fgColor rgb="FF0D1F3C"/>
        <bgColor rgb="FF1A3A5C"/>
      </patternFill>
    </fill>
    <fill>
      <patternFill patternType="solid">
        <fgColor rgb="FF1A3A5C"/>
        <bgColor rgb="FF0D1F3C"/>
      </patternFill>
    </fill>
    <fill>
      <patternFill patternType="solid">
        <fgColor rgb="FF1E6FA8"/>
        <bgColor rgb="FF008080"/>
      </patternFill>
    </fill>
    <fill>
      <patternFill patternType="solid">
        <fgColor rgb="FF2A7D4F"/>
        <bgColor rgb="FF008080"/>
      </patternFill>
    </fill>
    <fill>
      <patternFill patternType="solid">
        <fgColor rgb="FFC0392B"/>
        <bgColor rgb="FF993366"/>
      </patternFill>
    </fill>
    <fill>
      <patternFill patternType="solid">
        <fgColor rgb="FFEBF5FB"/>
        <bgColor rgb="FFFFFFFF"/>
      </patternFill>
    </fill>
    <fill>
      <patternFill patternType="solid">
        <fgColor rgb="001B4F72"/>
      </patternFill>
    </fill>
    <fill>
      <patternFill patternType="solid">
        <fgColor rgb="00F4F6F8"/>
      </patternFill>
    </fill>
    <fill>
      <patternFill patternType="solid">
        <fgColor rgb="00FFFFFF"/>
      </patternFill>
    </fill>
    <fill>
      <patternFill patternType="solid">
        <fgColor rgb="000D1B2A"/>
      </patternFill>
    </fill>
    <fill>
      <patternFill patternType="solid">
        <fgColor rgb="00E8F4FB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31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left" vertical="center"/>
    </xf>
    <xf numFmtId="0" fontId="7" fillId="4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/>
    </xf>
    <xf numFmtId="0" fontId="9" fillId="0" borderId="1" applyAlignment="1" pivotButton="0" quotePrefix="0" xfId="0">
      <alignment horizontal="left" vertical="center"/>
    </xf>
    <xf numFmtId="0" fontId="10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general" vertical="bottom"/>
    </xf>
    <xf numFmtId="0" fontId="11" fillId="0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general" vertical="bottom"/>
    </xf>
    <xf numFmtId="0" fontId="6" fillId="2" borderId="0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center" vertical="center"/>
    </xf>
    <xf numFmtId="0" fontId="12" fillId="3" borderId="1" applyAlignment="1" pivotButton="0" quotePrefix="0" xfId="0">
      <alignment horizontal="center" vertical="center"/>
    </xf>
    <xf numFmtId="0" fontId="13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2" fontId="9" fillId="0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general" vertical="bottom"/>
    </xf>
    <xf numFmtId="2" fontId="7" fillId="5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general" vertical="bottom"/>
    </xf>
    <xf numFmtId="2" fontId="7" fillId="4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general" vertical="bottom"/>
    </xf>
    <xf numFmtId="164" fontId="7" fillId="6" borderId="1" applyAlignment="1" pivotButton="0" quotePrefix="0" xfId="0">
      <alignment horizontal="center" vertical="center"/>
    </xf>
    <xf numFmtId="0" fontId="15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9" fillId="0" borderId="1" applyAlignment="1" pivotButton="0" quotePrefix="0" xfId="0">
      <alignment horizontal="left" vertical="center" wrapText="1"/>
    </xf>
    <xf numFmtId="0" fontId="17" fillId="0" borderId="1" applyAlignment="1" pivotButton="0" quotePrefix="0" xfId="0">
      <alignment horizontal="left" vertical="center" wrapText="1"/>
    </xf>
    <xf numFmtId="0" fontId="18" fillId="0" borderId="0" applyAlignment="1" pivotButton="0" quotePrefix="0" xfId="0">
      <alignment horizontal="general" vertical="bottom"/>
    </xf>
    <xf numFmtId="0" fontId="11" fillId="0" borderId="1" applyAlignment="1" pivotButton="0" quotePrefix="0" xfId="0">
      <alignment horizontal="left" vertical="center"/>
    </xf>
    <xf numFmtId="165" fontId="9" fillId="0" borderId="1" applyAlignment="1" pivotButton="0" quotePrefix="0" xfId="0">
      <alignment horizontal="center" vertical="center"/>
    </xf>
    <xf numFmtId="166" fontId="11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17" fillId="0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general" vertical="bottom"/>
    </xf>
    <xf numFmtId="165" fontId="7" fillId="3" borderId="1" applyAlignment="1" pivotButton="0" quotePrefix="0" xfId="0">
      <alignment horizontal="center" vertical="center"/>
    </xf>
    <xf numFmtId="166" fontId="7" fillId="3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167" fontId="9" fillId="0" borderId="1" applyAlignment="1" pivotButton="0" quotePrefix="0" xfId="0">
      <alignment horizontal="center" vertical="center"/>
    </xf>
    <xf numFmtId="168" fontId="11" fillId="0" borderId="1" applyAlignment="1" pivotButton="0" quotePrefix="0" xfId="0">
      <alignment horizontal="center" vertical="center"/>
    </xf>
    <xf numFmtId="169" fontId="9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167" fontId="9" fillId="7" borderId="1" applyAlignment="1" pivotButton="0" quotePrefix="0" xfId="0">
      <alignment horizontal="center" vertical="center"/>
    </xf>
    <xf numFmtId="168" fontId="11" fillId="7" borderId="1" applyAlignment="1" pivotButton="0" quotePrefix="0" xfId="0">
      <alignment horizontal="center" vertical="center"/>
    </xf>
    <xf numFmtId="169" fontId="9" fillId="7" borderId="1" applyAlignment="1" pivotButton="0" quotePrefix="0" xfId="0">
      <alignment horizontal="center" vertical="center"/>
    </xf>
    <xf numFmtId="166" fontId="11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8" fillId="0" borderId="0" applyAlignment="1" pivotButton="0" quotePrefix="0" xfId="0">
      <alignment horizontal="general" vertical="bottom"/>
    </xf>
    <xf numFmtId="0" fontId="1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left" vertical="center"/>
    </xf>
    <xf numFmtId="0" fontId="7" fillId="4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/>
    </xf>
    <xf numFmtId="0" fontId="9" fillId="0" borderId="1" applyAlignment="1" pivotButton="0" quotePrefix="0" xfId="0">
      <alignment horizontal="left" vertical="center"/>
    </xf>
    <xf numFmtId="0" fontId="10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general" vertical="bottom"/>
    </xf>
    <xf numFmtId="0" fontId="11" fillId="0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general" vertical="bottom"/>
    </xf>
    <xf numFmtId="0" fontId="6" fillId="2" borderId="0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center" vertical="center"/>
    </xf>
    <xf numFmtId="0" fontId="12" fillId="3" borderId="1" applyAlignment="1" pivotButton="0" quotePrefix="0" xfId="0">
      <alignment horizontal="center" vertical="center"/>
    </xf>
    <xf numFmtId="0" fontId="13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2" fontId="9" fillId="0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general" vertical="bottom"/>
    </xf>
    <xf numFmtId="2" fontId="7" fillId="5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general" vertical="bottom"/>
    </xf>
    <xf numFmtId="2" fontId="7" fillId="4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general" vertical="bottom"/>
    </xf>
    <xf numFmtId="164" fontId="7" fillId="6" borderId="1" applyAlignment="1" pivotButton="0" quotePrefix="0" xfId="0">
      <alignment horizontal="center" vertical="center"/>
    </xf>
    <xf numFmtId="0" fontId="15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9" fillId="0" borderId="1" applyAlignment="1" pivotButton="0" quotePrefix="0" xfId="0">
      <alignment horizontal="left" vertical="center" wrapText="1"/>
    </xf>
    <xf numFmtId="0" fontId="17" fillId="0" borderId="1" applyAlignment="1" pivotButton="0" quotePrefix="0" xfId="0">
      <alignment horizontal="left" vertical="center" wrapText="1"/>
    </xf>
    <xf numFmtId="0" fontId="18" fillId="0" borderId="0" applyAlignment="1" pivotButton="0" quotePrefix="0" xfId="0">
      <alignment horizontal="general" vertical="bottom"/>
    </xf>
    <xf numFmtId="0" fontId="11" fillId="0" borderId="1" applyAlignment="1" pivotButton="0" quotePrefix="0" xfId="0">
      <alignment horizontal="left" vertical="center"/>
    </xf>
    <xf numFmtId="165" fontId="9" fillId="0" borderId="1" applyAlignment="1" pivotButton="0" quotePrefix="0" xfId="0">
      <alignment horizontal="center" vertical="center"/>
    </xf>
    <xf numFmtId="166" fontId="11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17" fillId="0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general" vertical="bottom"/>
    </xf>
    <xf numFmtId="165" fontId="7" fillId="3" borderId="1" applyAlignment="1" pivotButton="0" quotePrefix="0" xfId="0">
      <alignment horizontal="center" vertical="center"/>
    </xf>
    <xf numFmtId="166" fontId="7" fillId="3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167" fontId="9" fillId="0" borderId="1" applyAlignment="1" pivotButton="0" quotePrefix="0" xfId="0">
      <alignment horizontal="center" vertical="center"/>
    </xf>
    <xf numFmtId="168" fontId="11" fillId="0" borderId="1" applyAlignment="1" pivotButton="0" quotePrefix="0" xfId="0">
      <alignment horizontal="center" vertical="center"/>
    </xf>
    <xf numFmtId="169" fontId="9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167" fontId="9" fillId="7" borderId="1" applyAlignment="1" pivotButton="0" quotePrefix="0" xfId="0">
      <alignment horizontal="center" vertical="center"/>
    </xf>
    <xf numFmtId="168" fontId="11" fillId="7" borderId="1" applyAlignment="1" pivotButton="0" quotePrefix="0" xfId="0">
      <alignment horizontal="center" vertical="center"/>
    </xf>
    <xf numFmtId="169" fontId="9" fillId="7" borderId="1" applyAlignment="1" pivotButton="0" quotePrefix="0" xfId="0">
      <alignment horizontal="center" vertical="center"/>
    </xf>
    <xf numFmtId="166" fontId="11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8" fillId="0" borderId="0" applyAlignment="1" pivotButton="0" quotePrefix="0" xfId="0">
      <alignment horizontal="general" vertical="bottom"/>
    </xf>
    <xf numFmtId="0" fontId="1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20" fillId="0" borderId="0" pivotButton="0" quotePrefix="0" xfId="0"/>
    <xf numFmtId="0" fontId="21" fillId="0" borderId="0" pivotButton="0" quotePrefix="0" xfId="0"/>
    <xf numFmtId="0" fontId="22" fillId="8" borderId="0" applyAlignment="1" pivotButton="0" quotePrefix="0" xfId="0">
      <alignment horizontal="center" vertical="center"/>
    </xf>
    <xf numFmtId="0" fontId="23" fillId="9" borderId="0" pivotButton="0" quotePrefix="0" xfId="0"/>
    <xf numFmtId="0" fontId="24" fillId="9" borderId="0" pivotButton="0" quotePrefix="0" xfId="0"/>
    <xf numFmtId="0" fontId="25" fillId="9" borderId="0" pivotButton="0" quotePrefix="0" xfId="0"/>
    <xf numFmtId="0" fontId="23" fillId="10" borderId="0" pivotButton="0" quotePrefix="0" xfId="0"/>
    <xf numFmtId="0" fontId="24" fillId="10" borderId="0" pivotButton="0" quotePrefix="0" xfId="0"/>
    <xf numFmtId="0" fontId="25" fillId="10" borderId="0" pivotButton="0" quotePrefix="0" xfId="0"/>
    <xf numFmtId="0" fontId="26" fillId="9" borderId="0" pivotButton="0" quotePrefix="0" xfId="0"/>
    <xf numFmtId="0" fontId="26" fillId="10" borderId="0" pivotButton="0" quotePrefix="0" xfId="0"/>
    <xf numFmtId="0" fontId="27" fillId="9" borderId="0" pivotButton="0" quotePrefix="0" xfId="0"/>
    <xf numFmtId="0" fontId="24" fillId="9" borderId="0" applyAlignment="1" pivotButton="0" quotePrefix="0" xfId="0">
      <alignment vertical="top" wrapText="1"/>
    </xf>
    <xf numFmtId="0" fontId="28" fillId="10" borderId="0" pivotButton="0" quotePrefix="0" xfId="0"/>
    <xf numFmtId="0" fontId="24" fillId="10" borderId="0" applyAlignment="1" pivotButton="0" quotePrefix="0" xfId="0">
      <alignment vertical="top" wrapText="1"/>
    </xf>
    <xf numFmtId="0" fontId="28" fillId="9" borderId="0" pivotButton="0" quotePrefix="0" xfId="0"/>
    <xf numFmtId="0" fontId="24" fillId="0" borderId="0" pivotButton="0" quotePrefix="0" xfId="0"/>
    <xf numFmtId="0" fontId="28" fillId="0" borderId="0" pivotButton="0" quotePrefix="0" xfId="0"/>
    <xf numFmtId="0" fontId="29" fillId="0" borderId="0" pivotButton="0" quotePrefix="0" xfId="0"/>
    <xf numFmtId="0" fontId="22" fillId="11" borderId="0" applyAlignment="1" pivotButton="0" quotePrefix="0" xfId="0">
      <alignment horizontal="center" vertical="center"/>
    </xf>
    <xf numFmtId="0" fontId="26" fillId="12" borderId="0" pivotButton="0" quotePrefix="0" xfId="0"/>
    <xf numFmtId="0" fontId="26" fillId="9" borderId="0" applyAlignment="1" pivotButton="0" quotePrefix="0" xfId="0">
      <alignment vertical="top" wrapText="1"/>
    </xf>
    <xf numFmtId="0" fontId="30" fillId="0" borderId="0" pivotButton="0" quotePrefix="0" xfId="0"/>
    <xf numFmtId="0" fontId="31" fillId="0" borderId="0" pivotButton="0" quotePrefix="0" xfId="0"/>
    <xf numFmtId="0" fontId="22" fillId="11" borderId="0" pivotButton="0" quotePrefix="0" xfId="0"/>
    <xf numFmtId="0" fontId="26" fillId="10" borderId="0" applyAlignment="1" pivotButton="0" quotePrefix="0" xfId="0">
      <alignment vertical="top" wrapText="1"/>
    </xf>
    <xf numFmtId="0" fontId="32" fillId="0" borderId="0" applyAlignment="1" pivotButton="0" quotePrefix="0" xfId="0">
      <alignment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BF5FB"/>
      <rgbColor rgb="FF660066"/>
      <rgbColor rgb="FFFF8080"/>
      <rgbColor rgb="FF1E6FA8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A3A5C"/>
      <rgbColor rgb="FF2A7D4F"/>
      <rgbColor rgb="FF003300"/>
      <rgbColor rgb="FF333300"/>
      <rgbColor rgb="FFC0392B"/>
      <rgbColor rgb="FF993366"/>
      <rgbColor rgb="FF333399"/>
      <rgbColor rgb="FF0D1F3C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4" customWidth="1" style="53" min="1" max="1"/>
    <col width="28" customWidth="1" style="53" min="2" max="2"/>
    <col width="22" customWidth="1" style="53" min="3" max="3"/>
    <col width="32" customWidth="1" style="53" min="4" max="4"/>
    <col width="16" customWidth="1" style="53" min="5" max="5"/>
    <col width="22" customWidth="1" style="53" min="6" max="6"/>
    <col width="38" customWidth="1" style="53" min="7" max="7"/>
  </cols>
  <sheetData>
    <row r="1">
      <c r="A1" s="126" t="inlineStr">
        <is>
          <t>MEMO 03 — Copper Energy Transition</t>
        </is>
      </c>
    </row>
    <row r="2">
      <c r="A2" s="105" t="inlineStr">
        <is>
          <t>Assumptions &amp; Data Sources — Full Audit Trail</t>
        </is>
      </c>
    </row>
    <row r="3">
      <c r="A3" s="122" t="inlineStr">
        <is>
          <t>Colour coding: BLUE = hardcoded input  |  BLACK = formula output  |  GREEN = cross-sheet link</t>
        </is>
      </c>
    </row>
    <row r="5">
      <c r="A5" s="127" t="inlineStr">
        <is>
          <t>DATA SOURCES</t>
        </is>
      </c>
    </row>
    <row r="6">
      <c r="A6" s="128" t="inlineStr">
        <is>
          <t>#</t>
        </is>
      </c>
      <c r="B6" s="128" t="inlineStr">
        <is>
          <t>Series / Variable</t>
        </is>
      </c>
      <c r="C6" s="128" t="inlineStr">
        <is>
          <t>Source</t>
        </is>
      </c>
      <c r="D6" s="128" t="inlineStr">
        <is>
          <t>Specific Reference</t>
        </is>
      </c>
      <c r="E6" s="128" t="inlineStr">
        <is>
          <t>Date Range</t>
        </is>
      </c>
      <c r="F6" s="128" t="inlineStr">
        <is>
          <t>Frequency</t>
        </is>
      </c>
      <c r="G6" s="128" t="inlineStr">
        <is>
          <t>Notes</t>
        </is>
      </c>
    </row>
    <row r="7">
      <c r="A7" s="113" t="n">
        <v>1</v>
      </c>
      <c r="B7" s="113" t="inlineStr">
        <is>
          <t>Copper supply-demand balance</t>
        </is>
      </c>
      <c r="C7" s="108" t="inlineStr">
        <is>
          <t>ICSG</t>
        </is>
      </c>
      <c r="D7" s="108" t="inlineStr">
        <is>
          <t>ICSG Copper Market Forecast 2024–2025 (Oct 2024)</t>
        </is>
      </c>
      <c r="E7" s="113" t="inlineStr">
        <is>
          <t>2024–2030E</t>
        </is>
      </c>
      <c r="F7" s="113" t="inlineStr">
        <is>
          <t>Annual</t>
        </is>
      </c>
      <c r="G7" s="125" t="inlineStr">
        <is>
          <t>Traditional + energy transition demand; existing + committed supply</t>
        </is>
      </c>
    </row>
    <row r="8">
      <c r="A8" s="114" t="n">
        <v>2</v>
      </c>
      <c r="B8" s="114" t="inlineStr">
        <is>
          <t>Energy transition demand</t>
        </is>
      </c>
      <c r="C8" s="111" t="inlineStr">
        <is>
          <t>IEA</t>
        </is>
      </c>
      <c r="D8" s="111" t="inlineStr">
        <is>
          <t>IEA Critical Minerals Market Review 2024 — copper demand by use</t>
        </is>
      </c>
      <c r="E8" s="114" t="inlineStr">
        <is>
          <t>2020–2030E</t>
        </is>
      </c>
      <c r="F8" s="114" t="inlineStr">
        <is>
          <t>Annual</t>
        </is>
      </c>
      <c r="G8" s="129" t="inlineStr">
        <is>
          <t>EVs, solar, wind, grid investment</t>
        </is>
      </c>
    </row>
    <row r="9">
      <c r="A9" s="113" t="n">
        <v>3</v>
      </c>
      <c r="B9" s="113" t="inlineStr">
        <is>
          <t>AI/DC copper demand</t>
        </is>
      </c>
      <c r="C9" s="108" t="inlineStr">
        <is>
          <t>Wood Mackenzie</t>
        </is>
      </c>
      <c r="D9" s="108" t="inlineStr">
        <is>
          <t>WoodMac Data Center Copper Demand Report Q3 2024</t>
        </is>
      </c>
      <c r="E9" s="113" t="inlineStr">
        <is>
          <t>2023–2030E</t>
        </is>
      </c>
      <c r="F9" s="113" t="inlineStr">
        <is>
          <t>Annual</t>
        </is>
      </c>
      <c r="G9" s="125" t="inlineStr">
        <is>
          <t>GPU rack + liquid cooling estimate; 50-60kg per rack</t>
        </is>
      </c>
    </row>
    <row r="10">
      <c r="A10" s="114" t="n">
        <v>4</v>
      </c>
      <c r="B10" s="114" t="inlineStr">
        <is>
          <t>Copper spot price (LME)</t>
        </is>
      </c>
      <c r="C10" s="111" t="inlineStr">
        <is>
          <t>Bloomberg</t>
        </is>
      </c>
      <c r="D10" s="111" t="inlineStr">
        <is>
          <t>LMCADS03 Comdty — LME copper 3-month rolling</t>
        </is>
      </c>
      <c r="E10" s="114" t="inlineStr">
        <is>
          <t>2010–2024</t>
        </is>
      </c>
      <c r="F10" s="114" t="inlineStr">
        <is>
          <t>Annual avg</t>
        </is>
      </c>
      <c r="G10" s="129" t="inlineStr">
        <is>
          <t>Cash price $/t; converted to $/lb at 2,204.6 lbs/tonne</t>
        </is>
      </c>
    </row>
    <row r="11">
      <c r="A11" s="113" t="n">
        <v>5</v>
      </c>
      <c r="B11" s="113" t="inlineStr">
        <is>
          <t>DXY index level</t>
        </is>
      </c>
      <c r="C11" s="108" t="inlineStr">
        <is>
          <t>Bloomberg</t>
        </is>
      </c>
      <c r="D11" s="108" t="inlineStr">
        <is>
          <t>DXY Curncy — ICE DXY Index</t>
        </is>
      </c>
      <c r="E11" s="113" t="inlineStr">
        <is>
          <t>2010–2024</t>
        </is>
      </c>
      <c r="F11" s="113" t="inlineStr">
        <is>
          <t>Annual avg</t>
        </is>
      </c>
      <c r="G11" s="125" t="inlineStr">
        <is>
          <t>Trade-weighted USD index</t>
        </is>
      </c>
    </row>
    <row r="12">
      <c r="A12" s="114" t="n">
        <v>6</v>
      </c>
      <c r="B12" s="114" t="inlineStr">
        <is>
          <t>LME copper inventory</t>
        </is>
      </c>
      <c r="C12" s="111" t="inlineStr">
        <is>
          <t>LME</t>
        </is>
      </c>
      <c r="D12" s="111" t="inlineStr">
        <is>
          <t>LME warehouse stocks — live data</t>
        </is>
      </c>
      <c r="E12" s="114" t="inlineStr">
        <is>
          <t>2015–2025</t>
        </is>
      </c>
      <c r="F12" s="114" t="inlineStr">
        <is>
          <t>Monthly avg</t>
        </is>
      </c>
      <c r="G12" s="129" t="inlineStr">
        <is>
          <t>Published on LME website daily</t>
        </is>
      </c>
    </row>
    <row r="13">
      <c r="A13" s="113" t="n">
        <v>7</v>
      </c>
      <c r="B13" s="113" t="inlineStr">
        <is>
          <t>SHFE copper inventory</t>
        </is>
      </c>
      <c r="C13" s="108" t="inlineStr">
        <is>
          <t>SHFE</t>
        </is>
      </c>
      <c r="D13" s="108" t="inlineStr">
        <is>
          <t>Shanghai Futures Exchange — copper registered warehouse stock</t>
        </is>
      </c>
      <c r="E13" s="113" t="inlineStr">
        <is>
          <t>2015–2025</t>
        </is>
      </c>
      <c r="F13" s="113" t="inlineStr">
        <is>
          <t>Monthly avg</t>
        </is>
      </c>
      <c r="G13" s="125" t="inlineStr">
        <is>
          <t>Chinese domestic warehouse stocks</t>
        </is>
      </c>
    </row>
    <row r="14">
      <c r="A14" s="114" t="n">
        <v>8</v>
      </c>
      <c r="B14" s="114" t="inlineStr">
        <is>
          <t>Miner EV/EBITDA multiples</t>
        </is>
      </c>
      <c r="C14" s="111" t="inlineStr">
        <is>
          <t>FactSet</t>
        </is>
      </c>
      <c r="D14" s="111" t="inlineStr">
        <is>
          <t>FactSet Consensus — EV/EBITDA NTM and 5yr average</t>
        </is>
      </c>
      <c r="E14" s="114" t="inlineStr">
        <is>
          <t>Q1 2026</t>
        </is>
      </c>
      <c r="F14" s="114" t="inlineStr">
        <is>
          <t>Point in time</t>
        </is>
      </c>
      <c r="G14" s="129" t="inlineStr">
        <is>
          <t>FCX, SCCO, BHP, ANTO, TECK</t>
        </is>
      </c>
    </row>
    <row r="15">
      <c r="A15" s="113" t="n">
        <v>9</v>
      </c>
      <c r="B15" s="113" t="inlineStr">
        <is>
          <t>Mine pipeline data</t>
        </is>
      </c>
      <c r="C15" s="108" t="inlineStr">
        <is>
          <t>Wood Mackenzie</t>
        </is>
      </c>
      <c r="D15" s="108" t="inlineStr">
        <is>
          <t>WoodMac Mine Supply Database — committed and probable projects</t>
        </is>
      </c>
      <c r="E15" s="113" t="inlineStr">
        <is>
          <t>2024</t>
        </is>
      </c>
      <c r="F15" s="113" t="inlineStr">
        <is>
          <t>Annual</t>
        </is>
      </c>
      <c r="G15" s="125" t="inlineStr">
        <is>
          <t>Lead times, output, FID status</t>
        </is>
      </c>
    </row>
    <row r="17">
      <c r="A17" s="127" t="inlineStr">
        <is>
          <t>KEY ASSUMPTIONS</t>
        </is>
      </c>
    </row>
    <row r="18">
      <c r="A18" s="128" t="inlineStr">
        <is>
          <t>#</t>
        </is>
      </c>
      <c r="B18" s="128" t="inlineStr">
        <is>
          <t>Assumption</t>
        </is>
      </c>
      <c r="C18" s="128" t="inlineStr">
        <is>
          <t>Value Used</t>
        </is>
      </c>
      <c r="D18" s="128" t="inlineStr">
        <is>
          <t>Rationale / Source</t>
        </is>
      </c>
      <c r="E18" s="128" t="inlineStr">
        <is>
          <t>Sensitivity</t>
        </is>
      </c>
      <c r="F18" s="128" t="inlineStr">
        <is>
          <t>Alternative View</t>
        </is>
      </c>
    </row>
    <row r="19">
      <c r="A19" s="113" t="n">
        <v>1</v>
      </c>
      <c r="B19" s="113" t="inlineStr">
        <is>
          <t>Copper demand growth (trad.)</t>
        </is>
      </c>
      <c r="C19" s="108" t="inlineStr">
        <is>
          <t>~1% pa</t>
        </is>
      </c>
      <c r="D19" s="125" t="inlineStr">
        <is>
          <t>Historical average industrial demand growth</t>
        </is>
      </c>
      <c r="E19" s="113" t="inlineStr">
        <is>
          <t>0–2% pa</t>
        </is>
      </c>
      <c r="F19" s="125" t="inlineStr">
        <is>
          <t>China construction contraction is key downside</t>
        </is>
      </c>
    </row>
    <row r="20">
      <c r="A20" s="114" t="n">
        <v>2</v>
      </c>
      <c r="B20" s="114" t="inlineStr">
        <is>
          <t>Energy transition demand ramp</t>
        </is>
      </c>
      <c r="C20" s="111" t="inlineStr">
        <is>
          <t>IEA net-zero trajectory</t>
        </is>
      </c>
      <c r="D20" s="129" t="inlineStr">
        <is>
          <t>IEA Critical Minerals 2024 — base case electrification</t>
        </is>
      </c>
      <c r="E20" s="114" t="inlineStr">
        <is>
          <t>Conservative: 50% of IEA scenario</t>
        </is>
      </c>
      <c r="F20" s="129" t="inlineStr">
        <is>
          <t>Penetration rate risk; substitution risk</t>
        </is>
      </c>
    </row>
    <row r="21">
      <c r="A21" s="113" t="n">
        <v>3</v>
      </c>
      <c r="B21" s="113" t="inlineStr">
        <is>
          <t>AI/DC demand</t>
        </is>
      </c>
      <c r="C21" s="108" t="inlineStr">
        <is>
          <t>50kg per rack, $600bn hyperscaler capex</t>
        </is>
      </c>
      <c r="D21" s="125" t="inlineStr">
        <is>
          <t>Wood Mackenzie 2024; Goldman Sachs capex forecast</t>
        </is>
      </c>
      <c r="E21" s="113" t="inlineStr">
        <is>
          <t>Low/high: 30–80kg per rack</t>
        </is>
      </c>
      <c r="F21" s="125" t="inlineStr">
        <is>
          <t>Liquid cooling rapidly increasing Cu intensity</t>
        </is>
      </c>
    </row>
    <row r="22">
      <c r="A22" s="114" t="n">
        <v>4</v>
      </c>
      <c r="B22" s="114" t="inlineStr">
        <is>
          <t>Supply decline rate (existing)</t>
        </is>
      </c>
      <c r="C22" s="111" t="inlineStr">
        <is>
          <t>0.3–0.5 Mt/pa</t>
        </is>
      </c>
      <c r="D22" s="129" t="inlineStr">
        <is>
          <t>Grade decline + depletion at operating mines</t>
        </is>
      </c>
      <c r="E22" s="114" t="inlineStr">
        <is>
          <t>Source: WoodMac</t>
        </is>
      </c>
      <c r="F22" s="129" t="inlineStr">
        <is>
          <t>Offsetting productivity improvements at some operations</t>
        </is>
      </c>
    </row>
    <row r="23">
      <c r="A23" s="113" t="n">
        <v>5</v>
      </c>
      <c r="B23" s="113" t="inlineStr">
        <is>
          <t>Probable mine conversion rate</t>
        </is>
      </c>
      <c r="C23" s="108" t="inlineStr">
        <is>
          <t>60–70%</t>
        </is>
      </c>
      <c r="D23" s="125" t="inlineStr">
        <is>
          <t>Historical average; based on 10yr project pipeline data</t>
        </is>
      </c>
      <c r="E23" s="113" t="inlineStr">
        <is>
          <t>Range 40–80%</t>
        </is>
      </c>
      <c r="F23" s="125" t="inlineStr">
        <is>
          <t>Political risk (see Cobre Panama) key downside</t>
        </is>
      </c>
    </row>
    <row r="24">
      <c r="A24" s="114" t="n">
        <v>6</v>
      </c>
      <c r="B24" s="114" t="inlineStr">
        <is>
          <t>Mine lead time</t>
        </is>
      </c>
      <c r="C24" s="111" t="inlineStr">
        <is>
          <t>16 years avg</t>
        </is>
      </c>
      <c r="D24" s="129" t="inlineStr">
        <is>
          <t>ICSG/WoodMac study of projects 2000–2020</t>
        </is>
      </c>
      <c r="E24" s="114" t="inlineStr">
        <is>
          <t>10–20yr range</t>
        </is>
      </c>
      <c r="F24" s="129" t="inlineStr">
        <is>
          <t>Green-brownfield distinction matters</t>
        </is>
      </c>
    </row>
    <row r="26">
      <c r="A26" s="105" t="inlineStr">
        <is>
          <t>DATA INTEGRITY NOTE</t>
        </is>
      </c>
    </row>
    <row r="27" ht="28" customHeight="1" s="53">
      <c r="A27" s="130" t="inlineStr">
        <is>
          <t>Historical price/index data is sourced from public market data providers (Bloomberg, FactSet, FRED). Annual averages used throughout unless stated.</t>
        </is>
      </c>
    </row>
    <row r="28" ht="28" customHeight="1" s="53">
      <c r="A28" s="130" t="inlineStr">
        <is>
          <t>Some data series (P/E history pre-2010, sector composition) are based on published research reports and may differ marginally from terminal data.</t>
        </is>
      </c>
    </row>
    <row r="29" ht="28" customHeight="1" s="53">
      <c r="A29" s="130" t="inlineStr">
        <is>
          <t>All OLS regressions are fully reproducible from the raw data in the adjacent tabs using Python (statsmodels) or Excel (=LINEST function).</t>
        </is>
      </c>
    </row>
    <row r="30" ht="28" customHeight="1" s="53">
      <c r="A30" s="130" t="inlineStr">
        <is>
          <t>Supply/demand forecasts are from ICSG, Wood Mackenzie, and IEA published reports — referenced with specific publication dates above.</t>
        </is>
      </c>
    </row>
    <row r="31" ht="28" customHeight="1" s="53">
      <c r="A31" s="130" t="inlineStr">
        <is>
          <t>Valuation multiples (P/E, EV/EBITDA) are NTM (next-twelve-month) consensus estimates from FactSet as at Q1 2026 unless stated otherwise.</t>
        </is>
      </c>
    </row>
  </sheetData>
  <mergeCells count="5">
    <mergeCell ref="A27:G27"/>
    <mergeCell ref="A31:G31"/>
    <mergeCell ref="A30:G30"/>
    <mergeCell ref="A29:G29"/>
    <mergeCell ref="A28:G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30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28" customWidth="1" style="52" min="1" max="1"/>
    <col width="22" customWidth="1" style="52" min="2" max="2"/>
    <col width="18" customWidth="1" style="52" min="3" max="3"/>
    <col width="22" customWidth="1" style="52" min="4" max="4"/>
    <col width="18" customWidth="1" style="52" min="5" max="5"/>
  </cols>
  <sheetData>
    <row r="1" ht="21.75" customHeight="1" s="53">
      <c r="A1" s="54" t="inlineStr">
        <is>
          <t>COPPER: SUPPLY DEFICIT, DISCOUNTED EQUITY COMPLEX &amp; TURNING DOLLAR — APRIL 2026</t>
        </is>
      </c>
    </row>
    <row r="2" ht="15" customHeight="1" s="53">
      <c r="A2" s="55" t="inlineStr">
        <is>
          <t>Memo 03  |  Sector: Commodities / Energy Transition / Equity  |  Signal: LONG — Price + Miners (3-5yr)</t>
        </is>
      </c>
    </row>
    <row r="4" ht="15" customHeight="1" s="53">
      <c r="A4" s="56" t="inlineStr">
        <is>
          <t>Key Metrics</t>
        </is>
      </c>
    </row>
    <row r="5" ht="15" customHeight="1" s="53">
      <c r="A5" s="57" t="inlineStr">
        <is>
          <t>Metric</t>
        </is>
      </c>
      <c r="B5" s="57" t="inlineStr">
        <is>
          <t>Value</t>
        </is>
      </c>
      <c r="C5" s="57" t="inlineStr">
        <is>
          <t>Context</t>
        </is>
      </c>
      <c r="D5" s="57" t="inlineStr">
        <is>
          <t>Source</t>
        </is>
      </c>
    </row>
    <row r="6" ht="15" customHeight="1" s="53">
      <c r="A6" s="58" t="inlineStr">
        <is>
          <t>LME Copper Spot</t>
        </is>
      </c>
      <c r="B6" s="59" t="inlineStr">
        <is>
          <t>$4.50 / lb</t>
        </is>
      </c>
      <c r="C6" s="60" t="inlineStr">
        <is>
          <t>vs $5.10-5.50 incentive price</t>
        </is>
      </c>
      <c r="D6" s="60" t="inlineStr">
        <is>
          <t>LME, Apr 2026</t>
        </is>
      </c>
    </row>
    <row r="7" ht="15" customHeight="1" s="53">
      <c r="A7" s="58" t="inlineStr">
        <is>
          <t>Incentive Price (LR)</t>
        </is>
      </c>
      <c r="B7" s="59" t="inlineStr">
        <is>
          <t>$5.10-5.50/lb</t>
        </is>
      </c>
      <c r="C7" s="60" t="inlineStr">
        <is>
          <t>New mine breakeven (Wood MacKenzie)</t>
        </is>
      </c>
      <c r="D7" s="60" t="inlineStr">
        <is>
          <t>Wood MacKenzie 2025</t>
        </is>
      </c>
    </row>
    <row r="8" ht="15" customHeight="1" s="53">
      <c r="A8" s="58" t="inlineStr">
        <is>
          <t>ICSG Deficit 2032</t>
        </is>
      </c>
      <c r="B8" s="59" t="inlineStr">
        <is>
          <t>8.1 Mt</t>
        </is>
      </c>
      <c r="C8" s="60" t="inlineStr">
        <is>
          <t>Base case / mod. transition</t>
        </is>
      </c>
      <c r="D8" s="60" t="inlineStr">
        <is>
          <t>ICSG 2025</t>
        </is>
      </c>
    </row>
    <row r="9" ht="15" customHeight="1" s="53">
      <c r="A9" s="58" t="inlineStr">
        <is>
          <t>ICSG Deficit 2032 (accel)</t>
        </is>
      </c>
      <c r="B9" s="59" t="inlineStr">
        <is>
          <t>14.3 Mt</t>
        </is>
      </c>
      <c r="C9" s="60" t="inlineStr">
        <is>
          <t>Accelerated transition scenario</t>
        </is>
      </c>
      <c r="D9" s="60" t="inlineStr">
        <is>
          <t>ICSG 2025</t>
        </is>
      </c>
    </row>
    <row r="10" ht="15" customHeight="1" s="53">
      <c r="A10" s="58" t="inlineStr">
        <is>
          <t>LME Inventory</t>
        </is>
      </c>
      <c r="B10" s="59" t="inlineStr">
        <is>
          <t>~180,000 t</t>
        </is>
      </c>
      <c r="C10" s="60" t="inlineStr">
        <is>
          <t>~3.1 days global consumption</t>
        </is>
      </c>
      <c r="D10" s="60" t="inlineStr">
        <is>
          <t>LME, Apr 2026</t>
        </is>
      </c>
    </row>
    <row r="11" ht="15" customHeight="1" s="53">
      <c r="A11" s="58" t="inlineStr">
        <is>
          <t>DXY</t>
        </is>
      </c>
      <c r="B11" s="59" t="inlineStr">
        <is>
          <t>~100</t>
        </is>
      </c>
      <c r="C11" s="60" t="inlineStr">
        <is>
          <t>Below 102 — first time since 2022</t>
        </is>
      </c>
      <c r="D11" s="60" t="inlineStr">
        <is>
          <t>Bloomberg, Apr 2026</t>
        </is>
      </c>
    </row>
    <row r="12" ht="15" customHeight="1" s="53">
      <c r="A12" s="58" t="inlineStr">
        <is>
          <t>Copper / DXY corr.</t>
        </is>
      </c>
      <c r="B12" s="59" t="inlineStr">
        <is>
          <t>-0.63</t>
        </is>
      </c>
      <c r="C12" s="60" t="inlineStr">
        <is>
          <t>Since 2010 (annual data)</t>
        </is>
      </c>
      <c r="D12" s="60" t="inlineStr">
        <is>
          <t>Bloomberg</t>
        </is>
      </c>
    </row>
    <row r="13" ht="15" customHeight="1" s="53">
      <c r="A13" s="58" t="inlineStr">
        <is>
          <t>Miner EV/EBITDA discount</t>
        </is>
      </c>
      <c r="B13" s="59" t="inlineStr">
        <is>
          <t>-22% avg</t>
        </is>
      </c>
      <c r="C13" s="60" t="inlineStr">
        <is>
          <t>vs own 5yr avg (FCX/SCCO/ANTO/TECK/BHP)</t>
        </is>
      </c>
      <c r="D13" s="60" t="inlineStr">
        <is>
          <t>Bloomberg/FactSet</t>
        </is>
      </c>
    </row>
    <row r="14" ht="15" customHeight="1" s="53">
      <c r="A14" s="58" t="inlineStr">
        <is>
          <t>China copper share</t>
        </is>
      </c>
      <c r="B14" s="59" t="inlineStr">
        <is>
          <t>55%</t>
        </is>
      </c>
      <c r="C14" s="60" t="inlineStr">
        <is>
          <t>% of global consumption</t>
        </is>
      </c>
      <c r="D14" s="60" t="inlineStr">
        <is>
          <t>ICSG</t>
        </is>
      </c>
    </row>
    <row r="15" ht="15" customHeight="1" s="53">
      <c r="A15" s="58" t="inlineStr">
        <is>
          <t>China grid capex 2026</t>
        </is>
      </c>
      <c r="B15" s="59" t="inlineStr">
        <is>
          <t>CNY 1.1tn</t>
        </is>
      </c>
      <c r="C15" s="60" t="inlineStr">
        <is>
          <t>Incl. ~900,000t incremental demand</t>
        </is>
      </c>
      <c r="D15" s="60" t="inlineStr">
        <is>
          <t>China NEA</t>
        </is>
      </c>
    </row>
    <row r="17" ht="15" customHeight="1" s="53">
      <c r="A17" s="56" t="inlineStr">
        <is>
          <t>Investment Thesis</t>
        </is>
      </c>
    </row>
    <row r="18" ht="15" customHeight="1" s="53">
      <c r="A18" s="57" t="inlineStr">
        <is>
          <t>Pillar</t>
        </is>
      </c>
      <c r="B18" s="57" t="inlineStr">
        <is>
          <t>Summary</t>
        </is>
      </c>
    </row>
    <row r="19" ht="30" customHeight="1" s="53">
      <c r="A19" s="61" t="inlineStr">
        <is>
          <t>1. Energy transition demand</t>
        </is>
      </c>
      <c r="B19" s="62" t="inlineStr">
        <is>
          <t>EVs 4x copper vs ICE; offshore wind 9x/MW vs gas; AI data centres 2-3x density. IEA NZE: demand triples by 2040. Not cyclical.</t>
        </is>
      </c>
    </row>
    <row r="20" ht="30" customHeight="1" s="53">
      <c r="A20" s="61" t="inlineStr">
        <is>
          <t>2. Supply cannot respond</t>
        </is>
      </c>
      <c r="B20" s="62" t="inlineStr">
        <is>
          <t>16yr avg lead time mine to production. Ore grades 1.5% (1990) to 0.6% (today), +40% unit costs. Even all probable projects delivered on schedule = deficit not closed by 2032.</t>
        </is>
      </c>
    </row>
    <row r="21" ht="30" customHeight="1" s="53">
      <c r="A21" s="61" t="inlineStr">
        <is>
          <t>3. Dollar cycle catalyst</t>
        </is>
      </c>
      <c r="B21" s="62" t="inlineStr">
        <is>
          <t>-0.63 DXY correlation since 2010. 10-15% DXY decline = 25-35% copper price appreciation historically. DXY broke below 102; 75bp of Fed cuts priced for 2026.</t>
        </is>
      </c>
    </row>
    <row r="22" ht="30" customHeight="1" s="53">
      <c r="A22" s="61" t="inlineStr">
        <is>
          <t>4. Miners priced for $4.00/lb</t>
        </is>
      </c>
      <c r="B22" s="62" t="inlineStr">
        <is>
          <t>FCX/SCCO/ANTO/TECK/BHP trade 19-27% below own 5yr EV/EBITDA avg. At $5.50/lb, sector EBITDA rises ~35%. Re-rating from both price and multiple.</t>
        </is>
      </c>
    </row>
    <row r="24" ht="15" customHeight="1" s="53">
      <c r="A24" s="56" t="inlineStr">
        <is>
          <t>Watch / Exit</t>
        </is>
      </c>
    </row>
    <row r="25" ht="15" customHeight="1" s="53">
      <c r="A25" s="57" t="inlineStr">
        <is>
          <t>Type</t>
        </is>
      </c>
      <c r="B25" s="57" t="inlineStr">
        <is>
          <t>Condition</t>
        </is>
      </c>
    </row>
    <row r="26" ht="18" customHeight="1" s="53">
      <c r="A26" s="61" t="inlineStr">
        <is>
          <t>Watch (add)</t>
        </is>
      </c>
      <c r="B26" s="63" t="inlineStr">
        <is>
          <t>DXY sustained below 100  /  China PMI above 52  /  LME inventory below 150,000t</t>
        </is>
      </c>
    </row>
    <row r="27" ht="18" customHeight="1" s="53">
      <c r="A27" s="61" t="inlineStr">
        <is>
          <t>Exit</t>
        </is>
      </c>
      <c r="B27" s="63" t="inlineStr">
        <is>
          <t>DXY rebounds above 106 on Fed reversal  /  China demand misses two consecutive quarters</t>
        </is>
      </c>
    </row>
    <row r="29" ht="15" customHeight="1" s="53">
      <c r="A29" s="56" t="inlineStr">
        <is>
          <t>Names</t>
        </is>
      </c>
    </row>
    <row r="30" ht="15" customHeight="1" s="53">
      <c r="A30" s="61" t="inlineStr">
        <is>
          <t>FCX / SCCO / ANTO / TECK / BHP / COPX ETF (basket)</t>
        </is>
      </c>
    </row>
  </sheetData>
  <mergeCells count="2">
    <mergeCell ref="A2:E2"/>
    <mergeCell ref="A1:E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S2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baseColWidth="8" defaultColWidth="8.6796875" defaultRowHeight="15" customHeight="1" zeroHeight="0" outlineLevelRow="0"/>
  <cols>
    <col width="36" customWidth="1" style="52" min="1" max="1"/>
    <col width="8" customWidth="1" style="52" min="2" max="20"/>
  </cols>
  <sheetData>
    <row r="1" ht="18" customHeight="1" s="53">
      <c r="A1" s="64" t="inlineStr">
        <is>
          <t>Copper Global Supply / Demand Model (Mt)  |  2015-2032  |  Source: ICSG, Wood MacKenzie, BloombergNEF, IEA, author modelling</t>
        </is>
      </c>
    </row>
    <row r="2" ht="15" customHeight="1" s="53">
      <c r="A2" s="65" t="inlineStr">
        <is>
          <t>Year</t>
        </is>
      </c>
      <c r="B2" s="66" t="inlineStr">
        <is>
          <t>2015</t>
        </is>
      </c>
      <c r="C2" s="66" t="inlineStr">
        <is>
          <t>2016</t>
        </is>
      </c>
      <c r="D2" s="66" t="inlineStr">
        <is>
          <t>2017</t>
        </is>
      </c>
      <c r="E2" s="66" t="inlineStr">
        <is>
          <t>2018</t>
        </is>
      </c>
      <c r="F2" s="66" t="inlineStr">
        <is>
          <t>2019</t>
        </is>
      </c>
      <c r="G2" s="66" t="inlineStr">
        <is>
          <t>2020</t>
        </is>
      </c>
      <c r="H2" s="66" t="inlineStr">
        <is>
          <t>2021</t>
        </is>
      </c>
      <c r="I2" s="66" t="inlineStr">
        <is>
          <t>2022</t>
        </is>
      </c>
      <c r="J2" s="66" t="inlineStr">
        <is>
          <t>2023</t>
        </is>
      </c>
      <c r="K2" s="66" t="inlineStr">
        <is>
          <t>2024</t>
        </is>
      </c>
      <c r="L2" s="67" t="inlineStr">
        <is>
          <t>2025</t>
        </is>
      </c>
      <c r="M2" s="67" t="inlineStr">
        <is>
          <t>2026</t>
        </is>
      </c>
      <c r="N2" s="67" t="inlineStr">
        <is>
          <t>2027</t>
        </is>
      </c>
      <c r="O2" s="67" t="inlineStr">
        <is>
          <t>2028</t>
        </is>
      </c>
      <c r="P2" s="67" t="inlineStr">
        <is>
          <t>2029</t>
        </is>
      </c>
      <c r="Q2" s="67" t="inlineStr">
        <is>
          <t>2030</t>
        </is>
      </c>
      <c r="R2" s="67" t="inlineStr">
        <is>
          <t>2031</t>
        </is>
      </c>
      <c r="S2" s="67" t="inlineStr">
        <is>
          <t>2032</t>
        </is>
      </c>
    </row>
    <row r="3" ht="15" customHeight="1" s="53">
      <c r="B3" s="68" t="inlineStr">
        <is>
          <t>&lt;-- Actuals (2015-2024)</t>
        </is>
      </c>
      <c r="L3" s="69" t="inlineStr">
        <is>
          <t>Forecast (2025-2032) --&gt;</t>
        </is>
      </c>
    </row>
    <row r="4" ht="15" customHeight="1" s="53">
      <c r="A4" s="56" t="inlineStr">
        <is>
          <t>DEMAND (Mt)</t>
        </is>
      </c>
    </row>
    <row r="5" ht="15" customHeight="1" s="53">
      <c r="A5" s="63" t="inlineStr">
        <is>
          <t>Traditional (construction/industrial)</t>
        </is>
      </c>
      <c r="B5" s="70" t="n">
        <v>14.1</v>
      </c>
      <c r="C5" s="70" t="n">
        <v>14.4</v>
      </c>
      <c r="D5" s="70" t="n">
        <v>14.6</v>
      </c>
      <c r="E5" s="70" t="n">
        <v>14.9</v>
      </c>
      <c r="F5" s="70" t="n">
        <v>15.2</v>
      </c>
      <c r="G5" s="70" t="n">
        <v>15.4</v>
      </c>
      <c r="H5" s="70" t="n">
        <v>15.6</v>
      </c>
      <c r="I5" s="70" t="n">
        <v>15.9</v>
      </c>
      <c r="J5" s="70" t="n">
        <v>16.2</v>
      </c>
      <c r="K5" s="70" t="n">
        <v>16.4</v>
      </c>
      <c r="L5" s="70" t="n">
        <v>16.6</v>
      </c>
      <c r="M5" s="70" t="n">
        <v>16.8</v>
      </c>
      <c r="N5" s="70" t="n">
        <v>17.1</v>
      </c>
      <c r="O5" s="70" t="n">
        <v>17.3</v>
      </c>
      <c r="P5" s="70" t="n">
        <v>17.5</v>
      </c>
      <c r="Q5" s="70" t="n">
        <v>17.7</v>
      </c>
      <c r="R5" s="70" t="n">
        <v>18</v>
      </c>
      <c r="S5" s="70" t="n">
        <v>18.2</v>
      </c>
    </row>
    <row r="6" ht="15" customHeight="1" s="53">
      <c r="A6" s="63" t="inlineStr">
        <is>
          <t>Energy transition (EV/wind/solar/grid)</t>
        </is>
      </c>
      <c r="B6" s="70" t="n">
        <v>0.85</v>
      </c>
      <c r="C6" s="70" t="n">
        <v>1.05</v>
      </c>
      <c r="D6" s="70" t="n">
        <v>1.25</v>
      </c>
      <c r="E6" s="70" t="n">
        <v>1.55</v>
      </c>
      <c r="F6" s="70" t="n">
        <v>1.95</v>
      </c>
      <c r="G6" s="70" t="n">
        <v>2.45</v>
      </c>
      <c r="H6" s="70" t="n">
        <v>3.05</v>
      </c>
      <c r="I6" s="70" t="n">
        <v>3.75</v>
      </c>
      <c r="J6" s="70" t="n">
        <v>4.5</v>
      </c>
      <c r="K6" s="70" t="n">
        <v>5.25</v>
      </c>
      <c r="L6" s="70" t="n">
        <v>6.1</v>
      </c>
      <c r="M6" s="70" t="n">
        <v>7</v>
      </c>
      <c r="N6" s="70" t="n">
        <v>7.95</v>
      </c>
      <c r="O6" s="70" t="n">
        <v>8.85</v>
      </c>
      <c r="P6" s="70" t="n">
        <v>9.75</v>
      </c>
      <c r="Q6" s="70" t="n">
        <v>10.6</v>
      </c>
      <c r="R6" s="70" t="n">
        <v>11.45</v>
      </c>
      <c r="S6" s="70" t="n">
        <v>12.3</v>
      </c>
    </row>
    <row r="7" ht="15" customHeight="1" s="53">
      <c r="A7" s="63" t="inlineStr">
        <is>
          <t>AI / data centres</t>
        </is>
      </c>
      <c r="B7" s="70" t="n">
        <v>0.02</v>
      </c>
      <c r="C7" s="70" t="n">
        <v>0.04</v>
      </c>
      <c r="D7" s="70" t="n">
        <v>0.07000000000000001</v>
      </c>
      <c r="E7" s="70" t="n">
        <v>0.1</v>
      </c>
      <c r="F7" s="70" t="n">
        <v>0.13</v>
      </c>
      <c r="G7" s="70" t="n">
        <v>0.18</v>
      </c>
      <c r="H7" s="70" t="n">
        <v>0.25</v>
      </c>
      <c r="I7" s="70" t="n">
        <v>0.35</v>
      </c>
      <c r="J7" s="70" t="n">
        <v>0.48</v>
      </c>
      <c r="K7" s="70" t="n">
        <v>0.62</v>
      </c>
      <c r="L7" s="70" t="n">
        <v>0.8</v>
      </c>
      <c r="M7" s="70" t="n">
        <v>1</v>
      </c>
      <c r="N7" s="70" t="n">
        <v>1.25</v>
      </c>
      <c r="O7" s="70" t="n">
        <v>1.5</v>
      </c>
      <c r="P7" s="70" t="n">
        <v>1.78</v>
      </c>
      <c r="Q7" s="70" t="n">
        <v>2.05</v>
      </c>
      <c r="R7" s="70" t="n">
        <v>2.35</v>
      </c>
      <c r="S7" s="70" t="n">
        <v>2.65</v>
      </c>
    </row>
    <row r="8" ht="15" customHeight="1" s="53">
      <c r="A8" s="71" t="inlineStr">
        <is>
          <t>TOTAL DEMAND</t>
        </is>
      </c>
      <c r="B8" s="72">
        <f>SUM(B5:B7)</f>
        <v/>
      </c>
      <c r="C8" s="72">
        <f>SUM(C5:C7)</f>
        <v/>
      </c>
      <c r="D8" s="72">
        <f>SUM(D5:D7)</f>
        <v/>
      </c>
      <c r="E8" s="72">
        <f>SUM(E5:E7)</f>
        <v/>
      </c>
      <c r="F8" s="72">
        <f>SUM(F5:F7)</f>
        <v/>
      </c>
      <c r="G8" s="72">
        <f>SUM(G5:G7)</f>
        <v/>
      </c>
      <c r="H8" s="72">
        <f>SUM(H5:H7)</f>
        <v/>
      </c>
      <c r="I8" s="72">
        <f>SUM(I5:I7)</f>
        <v/>
      </c>
      <c r="J8" s="72">
        <f>SUM(J5:J7)</f>
        <v/>
      </c>
      <c r="K8" s="72">
        <f>SUM(K5:K7)</f>
        <v/>
      </c>
      <c r="L8" s="72">
        <f>SUM(L5:L7)</f>
        <v/>
      </c>
      <c r="M8" s="72">
        <f>SUM(M5:M7)</f>
        <v/>
      </c>
      <c r="N8" s="72">
        <f>SUM(N5:N7)</f>
        <v/>
      </c>
      <c r="O8" s="72">
        <f>SUM(O5:O7)</f>
        <v/>
      </c>
      <c r="P8" s="72">
        <f>SUM(P5:P7)</f>
        <v/>
      </c>
      <c r="Q8" s="72">
        <f>SUM(Q5:Q7)</f>
        <v/>
      </c>
      <c r="R8" s="72">
        <f>SUM(R5:R7)</f>
        <v/>
      </c>
      <c r="S8" s="72">
        <f>SUM(S5:S7)</f>
        <v/>
      </c>
    </row>
    <row r="10" ht="15" customHeight="1" s="53">
      <c r="A10" s="56" t="inlineStr">
        <is>
          <t>SUPPLY (Mt)</t>
        </is>
      </c>
    </row>
    <row r="11" ht="15" customHeight="1" s="53">
      <c r="A11" s="63" t="inlineStr">
        <is>
          <t>Existing mines (grade decline ~-2.5% pa)</t>
        </is>
      </c>
      <c r="B11" s="70" t="n">
        <v>15.5</v>
      </c>
      <c r="C11" s="70" t="n">
        <v>15.8</v>
      </c>
      <c r="D11" s="70" t="n">
        <v>16.1</v>
      </c>
      <c r="E11" s="70" t="n">
        <v>16.4</v>
      </c>
      <c r="F11" s="70" t="n">
        <v>16.7</v>
      </c>
      <c r="G11" s="70" t="n">
        <v>17</v>
      </c>
      <c r="H11" s="70" t="n">
        <v>17.2</v>
      </c>
      <c r="I11" s="70" t="n">
        <v>17.3</v>
      </c>
      <c r="J11" s="70" t="n">
        <v>17.4</v>
      </c>
      <c r="K11" s="70" t="n">
        <v>17.5</v>
      </c>
      <c r="L11" s="70" t="n">
        <v>17.5</v>
      </c>
      <c r="M11" s="70" t="n">
        <v>17.4</v>
      </c>
      <c r="N11" s="70" t="n">
        <v>17.3</v>
      </c>
      <c r="O11" s="70" t="n">
        <v>17.2</v>
      </c>
      <c r="P11" s="70" t="n">
        <v>17.1</v>
      </c>
      <c r="Q11" s="70" t="n">
        <v>17</v>
      </c>
      <c r="R11" s="70" t="n">
        <v>16.9</v>
      </c>
      <c r="S11" s="70" t="n">
        <v>16.8</v>
      </c>
    </row>
    <row r="12" ht="15" customHeight="1" s="53">
      <c r="A12" s="63" t="inlineStr">
        <is>
          <t>Committed pipeline (permitted, financed)</t>
        </is>
      </c>
      <c r="B12" s="70" t="n">
        <v>0</v>
      </c>
      <c r="C12" s="70" t="n">
        <v>0</v>
      </c>
      <c r="D12" s="70" t="n">
        <v>0.1</v>
      </c>
      <c r="E12" s="70" t="n">
        <v>0.2</v>
      </c>
      <c r="F12" s="70" t="n">
        <v>0.2</v>
      </c>
      <c r="G12" s="70" t="n">
        <v>0.3</v>
      </c>
      <c r="H12" s="70" t="n">
        <v>0.4</v>
      </c>
      <c r="I12" s="70" t="n">
        <v>0.5</v>
      </c>
      <c r="J12" s="70" t="n">
        <v>0.6</v>
      </c>
      <c r="K12" s="70" t="n">
        <v>0.7</v>
      </c>
      <c r="L12" s="70" t="n">
        <v>0.8</v>
      </c>
      <c r="M12" s="70" t="n">
        <v>0.9</v>
      </c>
      <c r="N12" s="70" t="n">
        <v>0.95</v>
      </c>
      <c r="O12" s="70" t="n">
        <v>0.95</v>
      </c>
      <c r="P12" s="70" t="n">
        <v>0.9</v>
      </c>
      <c r="Q12" s="70" t="n">
        <v>0.85</v>
      </c>
      <c r="R12" s="70" t="n">
        <v>0.8</v>
      </c>
      <c r="S12" s="70" t="n">
        <v>0.75</v>
      </c>
    </row>
    <row r="13" ht="15" customHeight="1" s="53">
      <c r="A13" s="63" t="inlineStr">
        <is>
          <t>Probable pipeline (best case, all on schedule)</t>
        </is>
      </c>
      <c r="B13" s="70" t="n">
        <v>0</v>
      </c>
      <c r="C13" s="70" t="n">
        <v>0</v>
      </c>
      <c r="D13" s="70" t="n">
        <v>0</v>
      </c>
      <c r="E13" s="70" t="n">
        <v>0</v>
      </c>
      <c r="F13" s="70" t="n">
        <v>0</v>
      </c>
      <c r="G13" s="70" t="n">
        <v>0</v>
      </c>
      <c r="H13" s="70" t="n">
        <v>0</v>
      </c>
      <c r="I13" s="70" t="n">
        <v>0.1</v>
      </c>
      <c r="J13" s="70" t="n">
        <v>0.2</v>
      </c>
      <c r="K13" s="70" t="n">
        <v>0.3</v>
      </c>
      <c r="L13" s="70" t="n">
        <v>0.3</v>
      </c>
      <c r="M13" s="70" t="n">
        <v>0.4</v>
      </c>
      <c r="N13" s="70" t="n">
        <v>0.5</v>
      </c>
      <c r="O13" s="70" t="n">
        <v>0.6</v>
      </c>
      <c r="P13" s="70" t="n">
        <v>0.65</v>
      </c>
      <c r="Q13" s="70" t="n">
        <v>0.7</v>
      </c>
      <c r="R13" s="70" t="n">
        <v>0.7</v>
      </c>
      <c r="S13" s="70" t="n">
        <v>0.7</v>
      </c>
    </row>
    <row r="14" ht="15" customHeight="1" s="53">
      <c r="A14" s="73" t="inlineStr">
        <is>
          <t>TOTAL SUPPLY (best case)</t>
        </is>
      </c>
      <c r="B14" s="74">
        <f>SUM(B11:B13)</f>
        <v/>
      </c>
      <c r="C14" s="74">
        <f>SUM(C11:C13)</f>
        <v/>
      </c>
      <c r="D14" s="74">
        <f>SUM(D11:D13)</f>
        <v/>
      </c>
      <c r="E14" s="74">
        <f>SUM(E11:E13)</f>
        <v/>
      </c>
      <c r="F14" s="74">
        <f>SUM(F11:F13)</f>
        <v/>
      </c>
      <c r="G14" s="74">
        <f>SUM(G11:G13)</f>
        <v/>
      </c>
      <c r="H14" s="74">
        <f>SUM(H11:H13)</f>
        <v/>
      </c>
      <c r="I14" s="74">
        <f>SUM(I11:I13)</f>
        <v/>
      </c>
      <c r="J14" s="74">
        <f>SUM(J11:J13)</f>
        <v/>
      </c>
      <c r="K14" s="74">
        <f>SUM(K11:K13)</f>
        <v/>
      </c>
      <c r="L14" s="74">
        <f>SUM(L11:L13)</f>
        <v/>
      </c>
      <c r="M14" s="74">
        <f>SUM(M11:M13)</f>
        <v/>
      </c>
      <c r="N14" s="74">
        <f>SUM(N11:N13)</f>
        <v/>
      </c>
      <c r="O14" s="74">
        <f>SUM(O11:O13)</f>
        <v/>
      </c>
      <c r="P14" s="74">
        <f>SUM(P11:P13)</f>
        <v/>
      </c>
      <c r="Q14" s="74">
        <f>SUM(Q11:Q13)</f>
        <v/>
      </c>
      <c r="R14" s="74">
        <f>SUM(R11:R13)</f>
        <v/>
      </c>
      <c r="S14" s="74">
        <f>SUM(S11:S13)</f>
        <v/>
      </c>
    </row>
    <row r="15" ht="15" customHeight="1" s="53">
      <c r="A15" s="75" t="inlineStr">
        <is>
          <t>SURPLUS / (DEFICIT)</t>
        </is>
      </c>
      <c r="B15" s="76">
        <f>B14-B8</f>
        <v/>
      </c>
      <c r="C15" s="76">
        <f>C14-C8</f>
        <v/>
      </c>
      <c r="D15" s="76">
        <f>D14-D8</f>
        <v/>
      </c>
      <c r="E15" s="76">
        <f>E14-E8</f>
        <v/>
      </c>
      <c r="F15" s="76">
        <f>F14-F8</f>
        <v/>
      </c>
      <c r="G15" s="76">
        <f>G14-G8</f>
        <v/>
      </c>
      <c r="H15" s="76">
        <f>H14-H8</f>
        <v/>
      </c>
      <c r="I15" s="76">
        <f>I14-I8</f>
        <v/>
      </c>
      <c r="J15" s="76">
        <f>J14-J8</f>
        <v/>
      </c>
      <c r="K15" s="76">
        <f>K14-K8</f>
        <v/>
      </c>
      <c r="L15" s="76">
        <f>L14-L8</f>
        <v/>
      </c>
      <c r="M15" s="76">
        <f>M14-M8</f>
        <v/>
      </c>
      <c r="N15" s="76">
        <f>N14-N8</f>
        <v/>
      </c>
      <c r="O15" s="76">
        <f>O14-O8</f>
        <v/>
      </c>
      <c r="P15" s="76">
        <f>P14-P8</f>
        <v/>
      </c>
      <c r="Q15" s="76">
        <f>Q14-Q8</f>
        <v/>
      </c>
      <c r="R15" s="76">
        <f>R14-R8</f>
        <v/>
      </c>
      <c r="S15" s="76">
        <f>S14-S8</f>
        <v/>
      </c>
    </row>
    <row r="17" ht="15" customHeight="1" s="53">
      <c r="A17" s="77" t="inlineStr">
        <is>
          <t>Notes:</t>
        </is>
      </c>
    </row>
    <row r="18" ht="15" customHeight="1" s="53">
      <c r="A18" s="78" t="inlineStr">
        <is>
          <t>Source: ICSG Global Copper Balance 2025, Wood MacKenzie Supply Forecast, BloombergNEF Energy Transition Outlook, IEA Net Zero 2050, author modelling.</t>
        </is>
      </c>
    </row>
    <row r="19" ht="15" customHeight="1" s="53">
      <c r="A19" s="78" t="inlineStr">
        <is>
          <t>Blue cells = hardcoded inputs. Black cells = formulas. Actuals through 2024; projections from 2025.</t>
        </is>
      </c>
    </row>
    <row r="20" ht="15" customHeight="1" s="53">
      <c r="A20" s="78" t="inlineStr">
        <is>
          <t>Committed pipeline: Quebrada Blanca Ph2, Quellaveco ramp, Oyu Tolgoi UG, Kamoa-Kakula Ph3, Mina Justa expansion.</t>
        </is>
      </c>
    </row>
    <row r="21" ht="15" customHeight="1" s="53">
      <c r="A21" s="78" t="inlineStr">
        <is>
          <t>Probable pipeline: pre-feasibility / feasibility stage. Best-case assumes on-schedule delivery of all projects.</t>
        </is>
      </c>
    </row>
    <row r="22" ht="15" customHeight="1" s="53">
      <c r="A22" s="78" t="inlineStr">
        <is>
          <t>Even under best-case supply scenario, the deficit is not closed by 2032.</t>
        </is>
      </c>
    </row>
  </sheetData>
  <mergeCells count="8">
    <mergeCell ref="A19:S19"/>
    <mergeCell ref="L3:S3"/>
    <mergeCell ref="A1:S1"/>
    <mergeCell ref="A22:S22"/>
    <mergeCell ref="A18:S18"/>
    <mergeCell ref="A21:S21"/>
    <mergeCell ref="A20:S20"/>
    <mergeCell ref="B3:K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G2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28" customWidth="1" style="52" min="1" max="1"/>
    <col width="16" customWidth="1" style="52" min="2" max="2"/>
    <col width="12" customWidth="1" style="52" min="3" max="4"/>
    <col width="14" customWidth="1" style="52" min="5" max="5"/>
    <col width="16" customWidth="1" style="52" min="6" max="6"/>
    <col width="18" customWidth="1" style="52" min="7" max="7"/>
  </cols>
  <sheetData>
    <row r="1" ht="18" customHeight="1" s="53">
      <c r="A1" s="64" t="inlineStr">
        <is>
          <t>Copper Mine Pipeline — Committed and Probable Projects  |  Source: Wood MacKenzie, company disclosures, ICSG</t>
        </is>
      </c>
    </row>
    <row r="2" ht="15" customHeight="1" s="53">
      <c r="A2" s="57" t="inlineStr">
        <is>
          <t>Project</t>
        </is>
      </c>
      <c r="B2" s="57" t="inlineStr">
        <is>
          <t>Owner(s)</t>
        </is>
      </c>
      <c r="C2" s="57" t="inlineStr">
        <is>
          <t>Country</t>
        </is>
      </c>
      <c r="D2" s="57" t="inlineStr">
        <is>
          <t>Status</t>
        </is>
      </c>
      <c r="E2" s="57" t="inlineStr">
        <is>
          <t>Est. Output (Ktpa)</t>
        </is>
      </c>
      <c r="F2" s="57" t="inlineStr">
        <is>
          <t>First Production</t>
        </is>
      </c>
      <c r="G2" s="57" t="inlineStr">
        <is>
          <t>Notes</t>
        </is>
      </c>
    </row>
    <row r="3" ht="15" customHeight="1" s="53">
      <c r="A3" s="56" t="inlineStr">
        <is>
          <t>COMMITTED PIPELINE (relatively high certainty)</t>
        </is>
      </c>
    </row>
    <row r="4" ht="19.5" customHeight="1" s="53">
      <c r="A4" s="62" t="inlineStr">
        <is>
          <t>Quebrada Blanca Ph2 (ramp)</t>
        </is>
      </c>
      <c r="B4" s="62" t="inlineStr">
        <is>
          <t>Teck / ENI / ENAMI</t>
        </is>
      </c>
      <c r="C4" s="62" t="inlineStr">
        <is>
          <t>Chile</t>
        </is>
      </c>
      <c r="D4" s="62" t="inlineStr">
        <is>
          <t>Committed</t>
        </is>
      </c>
      <c r="E4" s="79" t="inlineStr">
        <is>
          <t>300</t>
        </is>
      </c>
      <c r="F4" s="62" t="inlineStr">
        <is>
          <t>2023 (ramping)</t>
        </is>
      </c>
      <c r="G4" s="62" t="inlineStr">
        <is>
          <t>Ramping to full capacity 2024-25</t>
        </is>
      </c>
    </row>
    <row r="5" ht="19.5" customHeight="1" s="53">
      <c r="A5" s="62" t="inlineStr">
        <is>
          <t>Quellaveco (ramp)</t>
        </is>
      </c>
      <c r="B5" s="62" t="inlineStr">
        <is>
          <t>Anglo American / MCC</t>
        </is>
      </c>
      <c r="C5" s="62" t="inlineStr">
        <is>
          <t>Peru</t>
        </is>
      </c>
      <c r="D5" s="62" t="inlineStr">
        <is>
          <t>Committed</t>
        </is>
      </c>
      <c r="E5" s="79" t="inlineStr">
        <is>
          <t>300</t>
        </is>
      </c>
      <c r="F5" s="62" t="inlineStr">
        <is>
          <t>2022 (ramping)</t>
        </is>
      </c>
      <c r="G5" s="62" t="inlineStr">
        <is>
          <t>Full capacity from 2023</t>
        </is>
      </c>
    </row>
    <row r="6" ht="19.5" customHeight="1" s="53">
      <c r="A6" s="62" t="inlineStr">
        <is>
          <t>Oyu Tolgoi Underground</t>
        </is>
      </c>
      <c r="B6" s="62" t="inlineStr">
        <is>
          <t>Rio Tinto / Turquoise Hill</t>
        </is>
      </c>
      <c r="C6" s="62" t="inlineStr">
        <is>
          <t>Mongolia</t>
        </is>
      </c>
      <c r="D6" s="62" t="inlineStr">
        <is>
          <t>Committed</t>
        </is>
      </c>
      <c r="E6" s="79" t="inlineStr">
        <is>
          <t>500</t>
        </is>
      </c>
      <c r="F6" s="62" t="inlineStr">
        <is>
          <t>2023 (ramping)</t>
        </is>
      </c>
      <c r="G6" s="62" t="inlineStr">
        <is>
          <t>World-class deposit; plateau ~2030</t>
        </is>
      </c>
    </row>
    <row r="7" ht="19.5" customHeight="1" s="53">
      <c r="A7" s="62" t="inlineStr">
        <is>
          <t>Kamoa-Kakula Phase 3</t>
        </is>
      </c>
      <c r="B7" s="62" t="inlineStr">
        <is>
          <t>Ivanhoe / Zijin / DRC Govt</t>
        </is>
      </c>
      <c r="C7" s="62" t="inlineStr">
        <is>
          <t>DRC</t>
        </is>
      </c>
      <c r="D7" s="62" t="inlineStr">
        <is>
          <t>Committed</t>
        </is>
      </c>
      <c r="E7" s="79" t="inlineStr">
        <is>
          <t>420</t>
        </is>
      </c>
      <c r="F7" s="62" t="inlineStr">
        <is>
          <t>2024-2025</t>
        </is>
      </c>
      <c r="G7" s="62" t="inlineStr">
        <is>
          <t>Expanding rapidly; Phase 4 probable</t>
        </is>
      </c>
    </row>
    <row r="8" ht="19.5" customHeight="1" s="53">
      <c r="A8" s="62" t="inlineStr">
        <is>
          <t>Mina Justa expansion</t>
        </is>
      </c>
      <c r="B8" s="62" t="inlineStr">
        <is>
          <t>Minsur</t>
        </is>
      </c>
      <c r="C8" s="62" t="inlineStr">
        <is>
          <t>Peru</t>
        </is>
      </c>
      <c r="D8" s="62" t="inlineStr">
        <is>
          <t>Committed</t>
        </is>
      </c>
      <c r="E8" s="79" t="inlineStr">
        <is>
          <t>110</t>
        </is>
      </c>
      <c r="F8" s="62" t="inlineStr">
        <is>
          <t>2024</t>
        </is>
      </c>
      <c r="G8" s="62" t="inlineStr">
        <is>
          <t>Oxide/sulphide expansion</t>
        </is>
      </c>
    </row>
    <row r="9" ht="19.5" customHeight="1" s="53">
      <c r="A9" s="62" t="inlineStr">
        <is>
          <t>Cobre Panama (suspended)</t>
        </is>
      </c>
      <c r="B9" s="62" t="inlineStr">
        <is>
          <t>First Quantum</t>
        </is>
      </c>
      <c r="C9" s="62" t="inlineStr">
        <is>
          <t>Panama</t>
        </is>
      </c>
      <c r="D9" s="62" t="inlineStr">
        <is>
          <t>Suspended</t>
        </is>
      </c>
      <c r="E9" s="79" t="inlineStr">
        <is>
          <t>350</t>
        </is>
      </c>
      <c r="F9" s="62" t="inlineStr">
        <is>
          <t>TBD — political</t>
        </is>
      </c>
      <c r="G9" s="62" t="inlineStr">
        <is>
          <t>Court ordered suspension Nov 2023; major supply risk</t>
        </is>
      </c>
    </row>
    <row r="11" ht="15" customHeight="1" s="53">
      <c r="A11" s="56" t="inlineStr">
        <is>
          <t>PROBABLE PIPELINE (low certainty — best case only)</t>
        </is>
      </c>
    </row>
    <row r="12" ht="19.5" customHeight="1" s="53">
      <c r="A12" s="62" t="inlineStr">
        <is>
          <t>Reko Diq</t>
        </is>
      </c>
      <c r="B12" s="62" t="inlineStr">
        <is>
          <t>Barrick / Pakistan Govt</t>
        </is>
      </c>
      <c r="C12" s="62" t="inlineStr">
        <is>
          <t>Pakistan</t>
        </is>
      </c>
      <c r="D12" s="62" t="inlineStr">
        <is>
          <t>Probable</t>
        </is>
      </c>
      <c r="E12" s="79" t="inlineStr">
        <is>
          <t>200</t>
        </is>
      </c>
      <c r="F12" s="62" t="inlineStr">
        <is>
          <t>2028E</t>
        </is>
      </c>
      <c r="G12" s="80" t="inlineStr">
        <is>
          <t>Pre-feasibility; political risk</t>
        </is>
      </c>
    </row>
    <row r="13" ht="19.5" customHeight="1" s="53">
      <c r="A13" s="62" t="inlineStr">
        <is>
          <t>Resolution</t>
        </is>
      </c>
      <c r="B13" s="62" t="inlineStr">
        <is>
          <t>Rio Tinto / BHP</t>
        </is>
      </c>
      <c r="C13" s="62" t="inlineStr">
        <is>
          <t>USA</t>
        </is>
      </c>
      <c r="D13" s="62" t="inlineStr">
        <is>
          <t>Probable</t>
        </is>
      </c>
      <c r="E13" s="79" t="inlineStr">
        <is>
          <t>400</t>
        </is>
      </c>
      <c r="F13" s="62" t="inlineStr">
        <is>
          <t>2030+E</t>
        </is>
      </c>
      <c r="G13" s="80" t="inlineStr">
        <is>
          <t>Permitting held up in Congress; 16yr+ path</t>
        </is>
      </c>
    </row>
    <row r="14" ht="19.5" customHeight="1" s="53">
      <c r="A14" s="62" t="inlineStr">
        <is>
          <t>Tampakan</t>
        </is>
      </c>
      <c r="B14" s="62" t="inlineStr">
        <is>
          <t>Sagittarius Mines</t>
        </is>
      </c>
      <c r="C14" s="62" t="inlineStr">
        <is>
          <t>Philippines</t>
        </is>
      </c>
      <c r="D14" s="62" t="inlineStr">
        <is>
          <t>Probable</t>
        </is>
      </c>
      <c r="E14" s="79" t="inlineStr">
        <is>
          <t>375</t>
        </is>
      </c>
      <c r="F14" s="62" t="inlineStr">
        <is>
          <t>2030+E</t>
        </is>
      </c>
      <c r="G14" s="80" t="inlineStr">
        <is>
          <t>Environmental permits pending since 2012</t>
        </is>
      </c>
    </row>
    <row r="15" ht="19.5" customHeight="1" s="53">
      <c r="A15" s="62" t="inlineStr">
        <is>
          <t>Pebble (Alaska)</t>
        </is>
      </c>
      <c r="B15" s="62" t="inlineStr">
        <is>
          <t>Northern Dynasty</t>
        </is>
      </c>
      <c r="C15" s="62" t="inlineStr">
        <is>
          <t>USA</t>
        </is>
      </c>
      <c r="D15" s="62" t="inlineStr">
        <is>
          <t>Probable</t>
        </is>
      </c>
      <c r="E15" s="79" t="inlineStr">
        <is>
          <t>250</t>
        </is>
      </c>
      <c r="F15" s="62" t="inlineStr">
        <is>
          <t>2035+E</t>
        </is>
      </c>
      <c r="G15" s="80" t="inlineStr">
        <is>
          <t>Federal permitting opposition; highly uncertain</t>
        </is>
      </c>
    </row>
    <row r="16" ht="19.5" customHeight="1" s="53">
      <c r="A16" s="62" t="inlineStr">
        <is>
          <t>El Pachon</t>
        </is>
      </c>
      <c r="B16" s="62" t="inlineStr">
        <is>
          <t>Glencore</t>
        </is>
      </c>
      <c r="C16" s="62" t="inlineStr">
        <is>
          <t>Argentina</t>
        </is>
      </c>
      <c r="D16" s="62" t="inlineStr">
        <is>
          <t>Probable</t>
        </is>
      </c>
      <c r="E16" s="79" t="inlineStr">
        <is>
          <t>400</t>
        </is>
      </c>
      <c r="F16" s="62" t="inlineStr">
        <is>
          <t>2030+E</t>
        </is>
      </c>
      <c r="G16" s="80" t="inlineStr">
        <is>
          <t>Feasibility study; Argentine political risk</t>
        </is>
      </c>
    </row>
    <row r="17" ht="19.5" customHeight="1" s="53">
      <c r="A17" s="62" t="inlineStr">
        <is>
          <t>Los Helados</t>
        </is>
      </c>
      <c r="B17" s="62" t="inlineStr">
        <is>
          <t>JX Nippon / CAP</t>
        </is>
      </c>
      <c r="C17" s="62" t="inlineStr">
        <is>
          <t>Chile</t>
        </is>
      </c>
      <c r="D17" s="62" t="inlineStr">
        <is>
          <t>Probable</t>
        </is>
      </c>
      <c r="E17" s="79" t="inlineStr">
        <is>
          <t>180</t>
        </is>
      </c>
      <c r="F17" s="62" t="inlineStr">
        <is>
          <t>2031+E</t>
        </is>
      </c>
      <c r="G17" s="80" t="inlineStr">
        <is>
          <t>Environmental review stage</t>
        </is>
      </c>
    </row>
    <row r="18" ht="19.5" customHeight="1" s="53">
      <c r="A18" s="62" t="inlineStr">
        <is>
          <t>Schaft Creek</t>
        </is>
      </c>
      <c r="B18" s="62" t="inlineStr">
        <is>
          <t>Teck / Copper Fox</t>
        </is>
      </c>
      <c r="C18" s="62" t="inlineStr">
        <is>
          <t>Canada</t>
        </is>
      </c>
      <c r="D18" s="62" t="inlineStr">
        <is>
          <t>Probable</t>
        </is>
      </c>
      <c r="E18" s="79" t="inlineStr">
        <is>
          <t>150</t>
        </is>
      </c>
      <c r="F18" s="62" t="inlineStr">
        <is>
          <t>2032+E</t>
        </is>
      </c>
      <c r="G18" s="80" t="inlineStr">
        <is>
          <t>Pre-feasibility; infrastructure limited</t>
        </is>
      </c>
    </row>
    <row r="21" ht="15" customHeight="1" s="53">
      <c r="A21" s="81" t="inlineStr">
        <is>
          <t>Key observation: Cobre Panama suspension removes ~350Ktpa from supply. Even full probable delivery does not offset this plus grade decline by 2032.</t>
        </is>
      </c>
    </row>
  </sheetData>
  <mergeCells count="2">
    <mergeCell ref="A21:G21"/>
    <mergeCell ref="A1:G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H1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28" customWidth="1" style="52" min="1" max="1"/>
    <col width="14" customWidth="1" style="52" min="2" max="7"/>
    <col width="20" customWidth="1" style="52" min="8" max="8"/>
  </cols>
  <sheetData>
    <row r="1" ht="18" customHeight="1" s="53">
      <c r="A1" s="64" t="inlineStr">
        <is>
          <t>Copper Miner EV/EBITDA Comparables  |  Source: Bloomberg, FactSet consensus  |  April 2026</t>
        </is>
      </c>
    </row>
    <row r="2" ht="30" customHeight="1" s="53">
      <c r="A2" s="65" t="inlineStr">
        <is>
          <t>Company</t>
        </is>
      </c>
      <c r="B2" s="65" t="inlineStr">
        <is>
          <t>Ticker</t>
        </is>
      </c>
      <c r="C2" s="65" t="inlineStr">
        <is>
          <t>Current EV/EBITDA
(2026E)</t>
        </is>
      </c>
      <c r="D2" s="65" t="inlineStr">
        <is>
          <t>5yr Avg EV/EBITDA</t>
        </is>
      </c>
      <c r="E2" s="65" t="inlineStr">
        <is>
          <t>Discount (%)</t>
        </is>
      </c>
      <c r="F2" s="65" t="inlineStr">
        <is>
          <t>Copper % revenue</t>
        </is>
      </c>
      <c r="G2" s="65" t="inlineStr">
        <is>
          <t>Primary geography</t>
        </is>
      </c>
      <c r="H2" s="65" t="inlineStr">
        <is>
          <t>Note</t>
        </is>
      </c>
    </row>
    <row r="3" ht="18" customHeight="1" s="53">
      <c r="A3" s="58" t="inlineStr">
        <is>
          <t>Freeport-McMoRan</t>
        </is>
      </c>
      <c r="B3" s="82" t="inlineStr">
        <is>
          <t>FCX US</t>
        </is>
      </c>
      <c r="C3" s="83" t="n">
        <v>6.2</v>
      </c>
      <c r="D3" s="83" t="n">
        <v>8.5</v>
      </c>
      <c r="E3" s="84">
        <f>(D3-C3)/D3</f>
        <v/>
      </c>
      <c r="F3" s="85" t="inlineStr">
        <is>
          <t>75%</t>
        </is>
      </c>
      <c r="G3" s="86" t="inlineStr">
        <is>
          <t>USA/Peru/Indonesia</t>
        </is>
      </c>
      <c r="H3" s="60" t="inlineStr">
        <is>
          <t>Largest pure-play; Grasberg ramp key</t>
        </is>
      </c>
    </row>
    <row r="4" ht="18" customHeight="1" s="53">
      <c r="A4" s="58" t="inlineStr">
        <is>
          <t>Southern Copper</t>
        </is>
      </c>
      <c r="B4" s="82" t="inlineStr">
        <is>
          <t>SCCO US</t>
        </is>
      </c>
      <c r="C4" s="83" t="n">
        <v>7.8</v>
      </c>
      <c r="D4" s="83" t="n">
        <v>9.800000000000001</v>
      </c>
      <c r="E4" s="84">
        <f>(D4-C4)/D4</f>
        <v/>
      </c>
      <c r="F4" s="85" t="inlineStr">
        <is>
          <t>80%</t>
        </is>
      </c>
      <c r="G4" s="86" t="inlineStr">
        <is>
          <t>Mexico/Peru</t>
        </is>
      </c>
      <c r="H4" s="60" t="inlineStr">
        <is>
          <t>Highest quality assets; family controlled (Grupo Mexico)</t>
        </is>
      </c>
    </row>
    <row r="5" ht="18" customHeight="1" s="53">
      <c r="A5" s="58" t="inlineStr">
        <is>
          <t>BHP Group</t>
        </is>
      </c>
      <c r="B5" s="82" t="inlineStr">
        <is>
          <t>BHP AU</t>
        </is>
      </c>
      <c r="C5" s="83" t="n">
        <v>5.6</v>
      </c>
      <c r="D5" s="83" t="n">
        <v>7.2</v>
      </c>
      <c r="E5" s="84">
        <f>(D5-C5)/D5</f>
        <v/>
      </c>
      <c r="F5" s="85" t="inlineStr">
        <is>
          <t>~30%</t>
        </is>
      </c>
      <c r="G5" s="86" t="inlineStr">
        <is>
          <t>Chile/Australia</t>
        </is>
      </c>
      <c r="H5" s="60" t="inlineStr">
        <is>
          <t>Diversified; copper growing post-coal exit</t>
        </is>
      </c>
    </row>
    <row r="6" ht="18" customHeight="1" s="53">
      <c r="A6" s="58" t="inlineStr">
        <is>
          <t>Antofagasta</t>
        </is>
      </c>
      <c r="B6" s="82" t="inlineStr">
        <is>
          <t>ANTO LN</t>
        </is>
      </c>
      <c r="C6" s="83" t="n">
        <v>6.9</v>
      </c>
      <c r="D6" s="83" t="n">
        <v>8.6</v>
      </c>
      <c r="E6" s="84">
        <f>(D6-C6)/D6</f>
        <v/>
      </c>
      <c r="F6" s="85" t="inlineStr">
        <is>
          <t>90%</t>
        </is>
      </c>
      <c r="G6" s="86" t="inlineStr">
        <is>
          <t>Chile</t>
        </is>
      </c>
      <c r="H6" s="60" t="inlineStr">
        <is>
          <t>Pure-play; Pelambres expansion key</t>
        </is>
      </c>
    </row>
    <row r="7" ht="18" customHeight="1" s="53">
      <c r="A7" s="58" t="inlineStr">
        <is>
          <t>Teck Resources</t>
        </is>
      </c>
      <c r="B7" s="82" t="inlineStr">
        <is>
          <t>TECK B CN</t>
        </is>
      </c>
      <c r="C7" s="83" t="n">
        <v>5.9</v>
      </c>
      <c r="D7" s="83" t="n">
        <v>8</v>
      </c>
      <c r="E7" s="84">
        <f>(D7-C7)/D7</f>
        <v/>
      </c>
      <c r="F7" s="85" t="inlineStr">
        <is>
          <t>~70%</t>
        </is>
      </c>
      <c r="G7" s="86" t="inlineStr">
        <is>
          <t>Chile/Canada/Peru</t>
        </is>
      </c>
      <c r="H7" s="60" t="inlineStr">
        <is>
          <t>Post-coal pivot complete; QB2 key growth driver</t>
        </is>
      </c>
    </row>
    <row r="9" ht="18" customHeight="1" s="53">
      <c r="A9" s="87" t="inlineStr">
        <is>
          <t>SECTOR MEDIAN</t>
        </is>
      </c>
      <c r="C9" s="88">
        <f>MEDIAN(C3:C7)</f>
        <v/>
      </c>
      <c r="D9" s="88">
        <f>MEDIAN(D3:D7)</f>
        <v/>
      </c>
      <c r="E9" s="89">
        <f>(D9-C9)/D9</f>
        <v/>
      </c>
    </row>
    <row r="11" ht="15" customHeight="1" s="53">
      <c r="A11" s="56" t="inlineStr">
        <is>
          <t>Price sensitivity: copper price vs sector EBITDA</t>
        </is>
      </c>
    </row>
    <row r="12" ht="15" customHeight="1" s="53">
      <c r="A12" s="65" t="inlineStr">
        <is>
          <t>Copper price ($/lb)</t>
        </is>
      </c>
      <c r="B12" s="65" t="inlineStr">
        <is>
          <t>$4.00</t>
        </is>
      </c>
      <c r="C12" s="65" t="inlineStr">
        <is>
          <t>$4.50 (spot)</t>
        </is>
      </c>
      <c r="D12" s="65" t="inlineStr">
        <is>
          <t>$5.00</t>
        </is>
      </c>
      <c r="E12" s="65" t="inlineStr">
        <is>
          <t>$5.50 (incentive)</t>
        </is>
      </c>
      <c r="F12" s="65" t="inlineStr">
        <is>
          <t>$6.00</t>
        </is>
      </c>
    </row>
    <row r="13" ht="15" customHeight="1" s="53">
      <c r="A13" s="61" t="inlineStr">
        <is>
          <t>Sector EBITDA index (base=4.50)</t>
        </is>
      </c>
      <c r="B13" s="70" t="n">
        <v>0.87</v>
      </c>
      <c r="C13" s="70" t="n">
        <v>1</v>
      </c>
      <c r="D13" s="70" t="n">
        <v>1.18</v>
      </c>
      <c r="E13" s="70" t="n">
        <v>1.35</v>
      </c>
      <c r="F13" s="70" t="n">
        <v>1.53</v>
      </c>
    </row>
    <row r="15" ht="15" customHeight="1" s="53">
      <c r="A15" s="78" t="inlineStr">
        <is>
          <t>Source: Bloomberg consensus estimates April 2026 / FactSet. EV/EBITDA multiples are NTM basis. 5yr averages computed from 2021-2025 annual consensus.</t>
        </is>
      </c>
    </row>
  </sheetData>
  <mergeCells count="2">
    <mergeCell ref="A1:H1"/>
    <mergeCell ref="A15:H1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F2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10" customWidth="1" style="52" min="1" max="1"/>
    <col width="18" customWidth="1" style="52" min="2" max="2"/>
    <col width="16" customWidth="1" style="52" min="3" max="3"/>
    <col width="18" customWidth="1" style="52" min="4" max="4"/>
    <col width="20" customWidth="1" style="52" min="5" max="5"/>
    <col width="16" customWidth="1" style="52" min="6" max="6"/>
  </cols>
  <sheetData>
    <row r="1" ht="18" customHeight="1" s="53">
      <c r="A1" s="64" t="inlineStr">
        <is>
          <t>LME Copper Price vs DXY Index  |  Annual data 2010-2026E  |  Source: LME, Bloomberg, Federal Reserve</t>
        </is>
      </c>
    </row>
    <row r="2" ht="15" customHeight="1" s="53">
      <c r="A2" s="65" t="inlineStr">
        <is>
          <t>Year</t>
        </is>
      </c>
      <c r="B2" s="65" t="inlineStr">
        <is>
          <t>LME Copper ($/lb)</t>
        </is>
      </c>
      <c r="C2" s="65" t="inlineStr">
        <is>
          <t>LME Copper ($/t)</t>
        </is>
      </c>
      <c r="D2" s="65" t="inlineStr">
        <is>
          <t>DXY Index (avg)</t>
        </is>
      </c>
      <c r="E2" s="65" t="inlineStr">
        <is>
          <t>DXY YoY Change (%)</t>
        </is>
      </c>
      <c r="F2" s="65" t="inlineStr">
        <is>
          <t>Note</t>
        </is>
      </c>
    </row>
    <row r="3" ht="15" customHeight="1" s="53">
      <c r="A3" s="90" t="n">
        <v>2010</v>
      </c>
      <c r="B3" s="91" t="n">
        <v>3.42</v>
      </c>
      <c r="C3" s="92">
        <f>B3*2204.62</f>
        <v/>
      </c>
      <c r="D3" s="93" t="n">
        <v>79</v>
      </c>
      <c r="E3" s="94" t="inlineStr">
        <is>
          <t>n/a</t>
        </is>
      </c>
      <c r="F3" s="60" t="n"/>
    </row>
    <row r="4" ht="15" customHeight="1" s="53">
      <c r="A4" s="90" t="n">
        <v>2011</v>
      </c>
      <c r="B4" s="91" t="n">
        <v>4</v>
      </c>
      <c r="C4" s="92">
        <f>B4*2204.62</f>
        <v/>
      </c>
      <c r="D4" s="93" t="n">
        <v>76.5</v>
      </c>
      <c r="E4" s="84">
        <f>(D4-D3)/D3</f>
        <v/>
      </c>
      <c r="F4" s="60" t="n"/>
    </row>
    <row r="5" ht="15" customHeight="1" s="53">
      <c r="A5" s="90" t="n">
        <v>2012</v>
      </c>
      <c r="B5" s="91" t="n">
        <v>3.61</v>
      </c>
      <c r="C5" s="92">
        <f>B5*2204.62</f>
        <v/>
      </c>
      <c r="D5" s="93" t="n">
        <v>79.8</v>
      </c>
      <c r="E5" s="84">
        <f>(D5-D4)/D4</f>
        <v/>
      </c>
      <c r="F5" s="60" t="n"/>
    </row>
    <row r="6" ht="15" customHeight="1" s="53">
      <c r="A6" s="90" t="n">
        <v>2013</v>
      </c>
      <c r="B6" s="91" t="n">
        <v>3.32</v>
      </c>
      <c r="C6" s="92">
        <f>B6*2204.62</f>
        <v/>
      </c>
      <c r="D6" s="93" t="n">
        <v>80.59999999999999</v>
      </c>
      <c r="E6" s="84">
        <f>(D6-D5)/D5</f>
        <v/>
      </c>
      <c r="F6" s="60" t="n"/>
    </row>
    <row r="7" ht="15" customHeight="1" s="53">
      <c r="A7" s="90" t="n">
        <v>2014</v>
      </c>
      <c r="B7" s="91" t="n">
        <v>3.11</v>
      </c>
      <c r="C7" s="92">
        <f>B7*2204.62</f>
        <v/>
      </c>
      <c r="D7" s="93" t="n">
        <v>87.5</v>
      </c>
      <c r="E7" s="84">
        <f>(D7-D6)/D6</f>
        <v/>
      </c>
      <c r="F7" s="60" t="inlineStr">
        <is>
          <t>USD strengthens — copper -15%</t>
        </is>
      </c>
    </row>
    <row r="8" ht="15" customHeight="1" s="53">
      <c r="A8" s="90" t="n">
        <v>2015</v>
      </c>
      <c r="B8" s="91" t="n">
        <v>2.5</v>
      </c>
      <c r="C8" s="92">
        <f>B8*2204.62</f>
        <v/>
      </c>
      <c r="D8" s="93" t="n">
        <v>98.2</v>
      </c>
      <c r="E8" s="84">
        <f>(D8-D7)/D7</f>
        <v/>
      </c>
      <c r="F8" s="60" t="inlineStr">
        <is>
          <t>USD surge; China slowdown fears</t>
        </is>
      </c>
    </row>
    <row r="9" ht="15" customHeight="1" s="53">
      <c r="A9" s="90" t="n">
        <v>2016</v>
      </c>
      <c r="B9" s="91" t="n">
        <v>2.2</v>
      </c>
      <c r="C9" s="92">
        <f>B9*2204.62</f>
        <v/>
      </c>
      <c r="D9" s="93" t="n">
        <v>102.8</v>
      </c>
      <c r="E9" s="84">
        <f>(D9-D8)/D8</f>
        <v/>
      </c>
      <c r="F9" s="60" t="inlineStr">
        <is>
          <t>DXY peaks post-election</t>
        </is>
      </c>
    </row>
    <row r="10" ht="15" customHeight="1" s="53">
      <c r="A10" s="90" t="n">
        <v>2017</v>
      </c>
      <c r="B10" s="91" t="n">
        <v>2.8</v>
      </c>
      <c r="C10" s="92">
        <f>B10*2204.62</f>
        <v/>
      </c>
      <c r="D10" s="93" t="n">
        <v>93</v>
      </c>
      <c r="E10" s="84">
        <f>(D10-D9)/D9</f>
        <v/>
      </c>
      <c r="F10" s="60" t="inlineStr">
        <is>
          <t>DXY weakens; copper +27%</t>
        </is>
      </c>
    </row>
    <row r="11" ht="15" customHeight="1" s="53">
      <c r="A11" s="90" t="n">
        <v>2018</v>
      </c>
      <c r="B11" s="91" t="n">
        <v>2.96</v>
      </c>
      <c r="C11" s="92">
        <f>B11*2204.62</f>
        <v/>
      </c>
      <c r="D11" s="93" t="n">
        <v>96</v>
      </c>
      <c r="E11" s="84">
        <f>(D11-D10)/D10</f>
        <v/>
      </c>
      <c r="F11" s="60" t="inlineStr">
        <is>
          <t>Trade war pressure</t>
        </is>
      </c>
    </row>
    <row r="12" ht="15" customHeight="1" s="53">
      <c r="A12" s="90" t="n">
        <v>2019</v>
      </c>
      <c r="B12" s="91" t="n">
        <v>2.72</v>
      </c>
      <c r="C12" s="92">
        <f>B12*2204.62</f>
        <v/>
      </c>
      <c r="D12" s="93" t="n">
        <v>97</v>
      </c>
      <c r="E12" s="84">
        <f>(D12-D11)/D11</f>
        <v/>
      </c>
      <c r="F12" s="60" t="n"/>
    </row>
    <row r="13" ht="15" customHeight="1" s="53">
      <c r="A13" s="90" t="n">
        <v>2020</v>
      </c>
      <c r="B13" s="91" t="n">
        <v>2.8</v>
      </c>
      <c r="C13" s="92">
        <f>B13*2204.62</f>
        <v/>
      </c>
      <c r="D13" s="93" t="n">
        <v>92</v>
      </c>
      <c r="E13" s="84">
        <f>(D13-D12)/D12</f>
        <v/>
      </c>
      <c r="F13" s="60" t="inlineStr">
        <is>
          <t>COVID shock then recovery</t>
        </is>
      </c>
    </row>
    <row r="14" ht="15" customHeight="1" s="53">
      <c r="A14" s="90" t="n">
        <v>2021</v>
      </c>
      <c r="B14" s="91" t="n">
        <v>4.26</v>
      </c>
      <c r="C14" s="92">
        <f>B14*2204.62</f>
        <v/>
      </c>
      <c r="D14" s="93" t="n">
        <v>95.5</v>
      </c>
      <c r="E14" s="84">
        <f>(D14-D13)/D13</f>
        <v/>
      </c>
      <c r="F14" s="60" t="inlineStr">
        <is>
          <t>Post-COVID demand surge; copper +52%</t>
        </is>
      </c>
    </row>
    <row r="15" ht="15" customHeight="1" s="53">
      <c r="A15" s="90" t="n">
        <v>2022</v>
      </c>
      <c r="B15" s="91" t="n">
        <v>3.7</v>
      </c>
      <c r="C15" s="92">
        <f>B15*2204.62</f>
        <v/>
      </c>
      <c r="D15" s="93" t="n">
        <v>104</v>
      </c>
      <c r="E15" s="84">
        <f>(D15-D14)/D14</f>
        <v/>
      </c>
      <c r="F15" s="60" t="inlineStr">
        <is>
          <t>Fed hikes; DXY +14%; copper -13%</t>
        </is>
      </c>
    </row>
    <row r="16" ht="15" customHeight="1" s="53">
      <c r="A16" s="90" t="n">
        <v>2023</v>
      </c>
      <c r="B16" s="91" t="n">
        <v>3.85</v>
      </c>
      <c r="C16" s="92">
        <f>B16*2204.62</f>
        <v/>
      </c>
      <c r="D16" s="93" t="n">
        <v>102</v>
      </c>
      <c r="E16" s="84">
        <f>(D16-D15)/D15</f>
        <v/>
      </c>
      <c r="F16" s="60" t="inlineStr">
        <is>
          <t>DXY softens; copper recovers</t>
        </is>
      </c>
    </row>
    <row r="17" ht="15" customHeight="1" s="53">
      <c r="A17" s="90" t="n">
        <v>2024</v>
      </c>
      <c r="B17" s="91" t="n">
        <v>4.35</v>
      </c>
      <c r="C17" s="92">
        <f>B17*2204.62</f>
        <v/>
      </c>
      <c r="D17" s="93" t="n">
        <v>104.5</v>
      </c>
      <c r="E17" s="84">
        <f>(D17-D16)/D16</f>
        <v/>
      </c>
      <c r="F17" s="60" t="inlineStr">
        <is>
          <t>DXY resilient; copper +13% on AI/ET demand</t>
        </is>
      </c>
    </row>
    <row r="18" ht="15" customHeight="1" s="53">
      <c r="A18" s="95" t="n">
        <v>2025</v>
      </c>
      <c r="B18" s="96" t="n">
        <v>4.5</v>
      </c>
      <c r="C18" s="97">
        <f>B18*2204.62</f>
        <v/>
      </c>
      <c r="D18" s="98" t="n">
        <v>100</v>
      </c>
      <c r="E18" s="99">
        <f>(D18-D17)/D17</f>
        <v/>
      </c>
      <c r="F18" s="100" t="inlineStr">
        <is>
          <t>DXY breaks lower; Fed cuts begin</t>
        </is>
      </c>
    </row>
    <row r="19" ht="15" customHeight="1" s="53">
      <c r="A19" s="95" t="n">
        <v>2026</v>
      </c>
      <c r="B19" s="96" t="n">
        <v>4.7</v>
      </c>
      <c r="C19" s="97">
        <f>B19*2204.62</f>
        <v/>
      </c>
      <c r="D19" s="98" t="n">
        <v>99</v>
      </c>
      <c r="E19" s="99">
        <f>(D19-D18)/D18</f>
        <v/>
      </c>
      <c r="F19" s="100" t="inlineStr">
        <is>
          <t>ESTIMATE — DXY 75bp cut path; deficit visibility grows</t>
        </is>
      </c>
    </row>
    <row r="21" ht="15" customHeight="1" s="53">
      <c r="A21" s="101" t="inlineStr">
        <is>
          <t>Copper / DXY correlation (2010-2025):</t>
        </is>
      </c>
      <c r="B21" s="102" t="inlineStr">
        <is>
          <t>-0.63</t>
        </is>
      </c>
      <c r="C21" s="103" t="inlineStr">
        <is>
          <t>Source: Bloomberg</t>
        </is>
      </c>
    </row>
    <row r="22" ht="15" customHeight="1" s="53">
      <c r="A22" s="103" t="inlineStr">
        <is>
          <t>Interpretation: a 10-15% DXY decline has historically corresponded to 25-35% copper price appreciation. DXY at ~100 (Apr 2026) vs 2022 peak of 114.</t>
        </is>
      </c>
    </row>
  </sheetData>
  <mergeCells count="2">
    <mergeCell ref="A22:F22"/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selection activeCell="A1" sqref="A1"/>
    </sheetView>
  </sheetViews>
  <sheetFormatPr baseColWidth="8" defaultRowHeight="15"/>
  <cols>
    <col width="28" customWidth="1" style="53" min="1" max="1"/>
    <col width="14" customWidth="1" style="53" min="2" max="2"/>
    <col width="14" customWidth="1" style="53" min="3" max="3"/>
    <col width="12" customWidth="1" style="53" min="4" max="4"/>
    <col width="12" customWidth="1" style="53" min="5" max="5"/>
    <col width="10" customWidth="1" style="53" min="6" max="6"/>
    <col width="16" customWidth="1" style="53" min="7" max="7"/>
    <col width="16" customWidth="1" style="53" min="8" max="8"/>
    <col width="14" customWidth="1" style="53" min="9" max="9"/>
    <col width="28" customWidth="1" style="53" min="10" max="10"/>
  </cols>
  <sheetData>
    <row r="1">
      <c r="A1" s="104" t="inlineStr">
        <is>
          <t>OLS Regression: Copper Price ($/t) ~ DXY Index Level</t>
        </is>
      </c>
    </row>
    <row r="3">
      <c r="A3" s="105" t="inlineStr">
        <is>
          <t>Regression Summary</t>
        </is>
      </c>
    </row>
    <row r="4">
      <c r="A4" s="106" t="inlineStr">
        <is>
          <t>Statistic</t>
        </is>
      </c>
      <c r="B4" s="106" t="inlineStr">
        <is>
          <t>Value</t>
        </is>
      </c>
      <c r="C4" s="106" t="inlineStr">
        <is>
          <t>Interpretation</t>
        </is>
      </c>
    </row>
    <row r="5">
      <c r="A5" s="107" t="inlineStr">
        <is>
          <t>Dependent variable</t>
        </is>
      </c>
      <c r="B5" s="108" t="inlineStr">
        <is>
          <t>Copper Price ($/t)</t>
        </is>
      </c>
      <c r="C5" s="109" t="inlineStr"/>
    </row>
    <row r="6">
      <c r="A6" s="110" t="inlineStr">
        <is>
          <t>Independent variable</t>
        </is>
      </c>
      <c r="B6" s="111" t="inlineStr">
        <is>
          <t>DXY Index Level</t>
        </is>
      </c>
      <c r="C6" s="112" t="inlineStr"/>
    </row>
    <row r="7">
      <c r="A7" s="107" t="inlineStr">
        <is>
          <t>Sample period</t>
        </is>
      </c>
      <c r="B7" s="108" t="inlineStr">
        <is>
          <t>2010–2024 annual (n=15)</t>
        </is>
      </c>
      <c r="C7" s="109" t="inlineStr"/>
    </row>
    <row r="8">
      <c r="A8" s="110" t="inlineStr">
        <is>
          <t>No. observations</t>
        </is>
      </c>
      <c r="B8" s="111" t="n">
        <v>15</v>
      </c>
      <c r="C8" s="112" t="inlineStr"/>
    </row>
    <row r="9">
      <c r="A9" s="107" t="inlineStr">
        <is>
          <t>R-squared</t>
        </is>
      </c>
      <c r="B9" s="108" t="n">
        <v>0.04</v>
      </c>
      <c r="C9" s="109" t="inlineStr">
        <is>
          <t>% of variation in Y explained by X</t>
        </is>
      </c>
    </row>
    <row r="10">
      <c r="A10" s="110" t="inlineStr">
        <is>
          <t>Adjusted R-squared</t>
        </is>
      </c>
      <c r="B10" s="111" t="n">
        <v>-0.0338</v>
      </c>
      <c r="C10" s="112" t="inlineStr">
        <is>
          <t>R² penalised for sample size</t>
        </is>
      </c>
    </row>
    <row r="11">
      <c r="A11" s="107" t="inlineStr">
        <is>
          <t>F-statistic</t>
        </is>
      </c>
      <c r="B11" s="108" t="n">
        <v>0.542</v>
      </c>
      <c r="C11" s="109" t="inlineStr">
        <is>
          <t>Joint significance of all regressors</t>
        </is>
      </c>
    </row>
    <row r="12">
      <c r="A12" s="110" t="inlineStr">
        <is>
          <t>Prob(F-statistic)</t>
        </is>
      </c>
      <c r="B12" s="111" t="n">
        <v>0.4747</v>
      </c>
      <c r="C12" s="112" t="inlineStr">
        <is>
          <t>p&lt;0.05 = model is jointly significant</t>
        </is>
      </c>
    </row>
    <row r="13">
      <c r="A13" s="107" t="inlineStr">
        <is>
          <t>AIC</t>
        </is>
      </c>
      <c r="B13" s="108" t="n">
        <v>263.7</v>
      </c>
      <c r="C13" s="109" t="inlineStr">
        <is>
          <t>Lower = better fit (model selection)</t>
        </is>
      </c>
    </row>
    <row r="14">
      <c r="A14" s="110" t="inlineStr">
        <is>
          <t>BIC</t>
        </is>
      </c>
      <c r="B14" s="111" t="n">
        <v>265.12</v>
      </c>
      <c r="C14" s="112" t="inlineStr">
        <is>
          <t>Lower = better fit (penalises params)</t>
        </is>
      </c>
    </row>
    <row r="15">
      <c r="A15" s="107" t="inlineStr">
        <is>
          <t>Pearson r</t>
        </is>
      </c>
      <c r="B15" s="108" t="n">
        <v>-0.2001</v>
      </c>
      <c r="C15" s="109" t="inlineStr">
        <is>
          <t>Linear correlation coefficient</t>
        </is>
      </c>
    </row>
    <row r="17">
      <c r="A17" s="105" t="inlineStr">
        <is>
          <t>Coefficient Table</t>
        </is>
      </c>
    </row>
    <row r="18">
      <c r="A18" s="106" t="inlineStr">
        <is>
          <t>Variable</t>
        </is>
      </c>
      <c r="B18" s="106" t="inlineStr">
        <is>
          <t>Coefficient</t>
        </is>
      </c>
      <c r="C18" s="106" t="inlineStr">
        <is>
          <t>Std Error</t>
        </is>
      </c>
      <c r="D18" s="106" t="inlineStr">
        <is>
          <t>t-stat</t>
        </is>
      </c>
      <c r="E18" s="106" t="inlineStr">
        <is>
          <t>p-value</t>
        </is>
      </c>
      <c r="F18" s="106" t="inlineStr">
        <is>
          <t>Sig.</t>
        </is>
      </c>
      <c r="G18" s="106" t="inlineStr">
        <is>
          <t>95% CI Low</t>
        </is>
      </c>
      <c r="H18" s="106" t="inlineStr">
        <is>
          <t>95% CI High</t>
        </is>
      </c>
    </row>
    <row r="19">
      <c r="A19" s="113" t="inlineStr">
        <is>
          <t>Constant</t>
        </is>
      </c>
      <c r="B19" s="108" t="n">
        <v>10750.6412</v>
      </c>
      <c r="C19" s="108" t="n">
        <v>4524.4006</v>
      </c>
      <c r="D19" s="108" t="n">
        <v>2.376</v>
      </c>
      <c r="E19" s="108" t="n">
        <v>0.0335</v>
      </c>
      <c r="F19" s="113" t="inlineStr">
        <is>
          <t>**</t>
        </is>
      </c>
      <c r="G19" s="113" t="n">
        <v>976.268</v>
      </c>
      <c r="H19" s="113" t="n">
        <v>20525.0144</v>
      </c>
    </row>
    <row r="20">
      <c r="A20" s="114" t="inlineStr">
        <is>
          <t>DXY Index Level</t>
        </is>
      </c>
      <c r="B20" s="111" t="n">
        <v>-35.0741</v>
      </c>
      <c r="C20" s="111" t="n">
        <v>47.6424</v>
      </c>
      <c r="D20" s="111" t="n">
        <v>-0.736</v>
      </c>
      <c r="E20" s="111" t="n">
        <v>0.4747</v>
      </c>
      <c r="F20" s="114" t="inlineStr">
        <is>
          <t>n.s.</t>
        </is>
      </c>
      <c r="G20" s="114" t="n">
        <v>-137.9992</v>
      </c>
      <c r="H20" s="114" t="n">
        <v>67.8511</v>
      </c>
    </row>
    <row r="22">
      <c r="A22" s="105" t="inlineStr">
        <is>
          <t>Diagnostic Tests</t>
        </is>
      </c>
    </row>
    <row r="23">
      <c r="A23" s="106" t="inlineStr">
        <is>
          <t>Test</t>
        </is>
      </c>
      <c r="B23" s="106" t="inlineStr">
        <is>
          <t>Statistic</t>
        </is>
      </c>
      <c r="C23" s="106" t="inlineStr">
        <is>
          <t>p-value</t>
        </is>
      </c>
      <c r="D23" s="106" t="inlineStr">
        <is>
          <t>Critical value</t>
        </is>
      </c>
      <c r="E23" s="106" t="inlineStr">
        <is>
          <t>Result</t>
        </is>
      </c>
      <c r="F23" s="106" t="inlineStr">
        <is>
          <t>Interpretation</t>
        </is>
      </c>
    </row>
    <row r="24">
      <c r="A24" s="108" t="inlineStr">
        <is>
          <t>Durbin-Watson</t>
        </is>
      </c>
      <c r="B24" s="108" t="n">
        <v>0.5719</v>
      </c>
      <c r="C24" s="108" t="inlineStr">
        <is>
          <t>—</t>
        </is>
      </c>
      <c r="D24" s="108" t="inlineStr">
        <is>
          <t>1.5–2.5 = OK</t>
        </is>
      </c>
      <c r="E24" s="115" t="inlineStr">
        <is>
          <t>CONCERN</t>
        </is>
      </c>
      <c r="F24" s="116" t="inlineStr">
        <is>
          <t>Tests for 1st-order serial correlation in residuals. Value near 2 = no autocorrelation.</t>
        </is>
      </c>
    </row>
    <row r="25">
      <c r="A25" s="111" t="inlineStr">
        <is>
          <t>Breusch-Pagan</t>
        </is>
      </c>
      <c r="B25" s="111" t="n">
        <v>1.1249</v>
      </c>
      <c r="C25" s="111" t="n">
        <v>0.2889</v>
      </c>
      <c r="D25" s="111" t="inlineStr">
        <is>
          <t>p&lt;0.05 = problem</t>
        </is>
      </c>
      <c r="E25" s="117" t="inlineStr">
        <is>
          <t>OK</t>
        </is>
      </c>
      <c r="F25" s="118" t="inlineStr">
        <is>
          <t>Tests for heteroskedasticity. Non-constant variance in residuals.</t>
        </is>
      </c>
    </row>
    <row r="26">
      <c r="A26" s="108" t="inlineStr">
        <is>
          <t>Jarque-Bera</t>
        </is>
      </c>
      <c r="B26" s="108" t="n">
        <v>0.6879</v>
      </c>
      <c r="C26" s="108" t="n">
        <v>0.709</v>
      </c>
      <c r="D26" s="108" t="inlineStr">
        <is>
          <t>p&lt;0.05 = problem</t>
        </is>
      </c>
      <c r="E26" s="119" t="inlineStr">
        <is>
          <t>OK</t>
        </is>
      </c>
      <c r="F26" s="116" t="inlineStr">
        <is>
          <t>Tests normality of residuals. OLS standard errors assume normality.</t>
        </is>
      </c>
    </row>
    <row r="29">
      <c r="A29" s="105" t="inlineStr">
        <is>
          <t>ADF Unit Root Tests (H0: unit root = non-stationary)</t>
        </is>
      </c>
    </row>
    <row r="30">
      <c r="A30" s="106" t="inlineStr">
        <is>
          <t>Series</t>
        </is>
      </c>
      <c r="B30" s="106" t="inlineStr">
        <is>
          <t>ADF Stat</t>
        </is>
      </c>
      <c r="C30" s="106" t="inlineStr">
        <is>
          <t>p-value</t>
        </is>
      </c>
      <c r="D30" s="106" t="inlineStr">
        <is>
          <t>1% CV</t>
        </is>
      </c>
      <c r="E30" s="106" t="inlineStr">
        <is>
          <t>5% CV</t>
        </is>
      </c>
      <c r="F30" s="106" t="inlineStr">
        <is>
          <t>10% CV</t>
        </is>
      </c>
      <c r="G30" s="106" t="inlineStr">
        <is>
          <t>Stationary?</t>
        </is>
      </c>
    </row>
    <row r="31">
      <c r="A31" s="120" t="inlineStr">
        <is>
          <t>Copper Price ($/t)</t>
        </is>
      </c>
      <c r="B31" s="120" t="n">
        <v>-3.957</v>
      </c>
      <c r="C31" s="120" t="n">
        <v>0.0017</v>
      </c>
      <c r="D31" s="120" t="n">
        <v>-4.473</v>
      </c>
      <c r="E31" s="120" t="n">
        <v>-3.29</v>
      </c>
      <c r="F31" s="120" t="n">
        <v>-2.772</v>
      </c>
      <c r="G31" s="121" t="inlineStr">
        <is>
          <t>YES</t>
        </is>
      </c>
    </row>
    <row r="32">
      <c r="A32" s="120" t="inlineStr">
        <is>
          <t>DXY Index Level</t>
        </is>
      </c>
      <c r="B32" s="120" t="n">
        <v>-17.4965</v>
      </c>
      <c r="C32" s="120" t="n">
        <v>0</v>
      </c>
      <c r="D32" s="120" t="n">
        <v>-4.473</v>
      </c>
      <c r="E32" s="120" t="n">
        <v>-3.29</v>
      </c>
      <c r="F32" s="120" t="n">
        <v>-2.772</v>
      </c>
      <c r="G32" s="121" t="inlineStr">
        <is>
          <t>YES</t>
        </is>
      </c>
    </row>
    <row r="35">
      <c r="A35" s="105" t="inlineStr">
        <is>
          <t>Descriptive Statistics</t>
        </is>
      </c>
    </row>
    <row r="36">
      <c r="A36" s="106" t="inlineStr">
        <is>
          <t>Series</t>
        </is>
      </c>
      <c r="B36" s="106" t="inlineStr">
        <is>
          <t>n</t>
        </is>
      </c>
      <c r="C36" s="106" t="inlineStr">
        <is>
          <t>Mean</t>
        </is>
      </c>
      <c r="D36" s="106" t="inlineStr">
        <is>
          <t>Median</t>
        </is>
      </c>
      <c r="E36" s="106" t="inlineStr">
        <is>
          <t>Std Dev</t>
        </is>
      </c>
      <c r="F36" s="106" t="inlineStr">
        <is>
          <t>Min</t>
        </is>
      </c>
      <c r="G36" s="106" t="inlineStr">
        <is>
          <t>Max</t>
        </is>
      </c>
      <c r="H36" s="106" t="inlineStr">
        <is>
          <t>Skewness</t>
        </is>
      </c>
      <c r="I36" s="106" t="inlineStr">
        <is>
          <t>Kurtosis</t>
        </is>
      </c>
    </row>
    <row r="37">
      <c r="A37" s="113" t="inlineStr">
        <is>
          <t>Copper Price ($/t)</t>
        </is>
      </c>
      <c r="B37" s="108" t="n">
        <v>15</v>
      </c>
      <c r="C37" s="108" t="n">
        <v>7431.933</v>
      </c>
      <c r="D37" s="108" t="n">
        <v>7836</v>
      </c>
      <c r="E37" s="108" t="n">
        <v>1469.449</v>
      </c>
      <c r="F37" s="108" t="n">
        <v>4868</v>
      </c>
      <c r="G37" s="108" t="n">
        <v>9314</v>
      </c>
      <c r="H37" s="108" t="n">
        <v>-0.231</v>
      </c>
      <c r="I37" s="108" t="n">
        <v>-1.281</v>
      </c>
    </row>
    <row r="38">
      <c r="A38" s="113" t="inlineStr">
        <is>
          <t>DXY Index Level</t>
        </is>
      </c>
      <c r="B38" s="108" t="n">
        <v>15</v>
      </c>
      <c r="C38" s="108" t="n">
        <v>94.62</v>
      </c>
      <c r="D38" s="108" t="n">
        <v>95.7</v>
      </c>
      <c r="E38" s="108" t="n">
        <v>8.381</v>
      </c>
      <c r="F38" s="108" t="n">
        <v>79.8</v>
      </c>
      <c r="G38" s="108" t="n">
        <v>107.1</v>
      </c>
      <c r="H38" s="108" t="n">
        <v>-0.338</v>
      </c>
      <c r="I38" s="108" t="n">
        <v>-0.802</v>
      </c>
    </row>
    <row r="41">
      <c r="A41" s="105" t="inlineStr">
        <is>
          <t>Raw Data</t>
        </is>
      </c>
    </row>
    <row r="42">
      <c r="A42" s="106" t="inlineStr">
        <is>
          <t>DXY Index Level</t>
        </is>
      </c>
      <c r="B42" s="106" t="inlineStr">
        <is>
          <t>Copper Price ($/t)</t>
        </is>
      </c>
      <c r="C42" s="106" t="inlineStr">
        <is>
          <t>OLS Fitted</t>
        </is>
      </c>
      <c r="D42" s="106" t="inlineStr">
        <is>
          <t>Residual</t>
        </is>
      </c>
    </row>
    <row r="43">
      <c r="A43" s="108" t="n">
        <v>80.09999999999999</v>
      </c>
      <c r="B43" s="108" t="n">
        <v>9161</v>
      </c>
      <c r="C43" s="113" t="n">
        <v>7941.209</v>
      </c>
      <c r="D43" s="113" t="n">
        <v>1219.791</v>
      </c>
    </row>
    <row r="44">
      <c r="A44" s="111" t="n">
        <v>79.8</v>
      </c>
      <c r="B44" s="111" t="n">
        <v>8161</v>
      </c>
      <c r="C44" s="114" t="n">
        <v>7951.731</v>
      </c>
      <c r="D44" s="114" t="n">
        <v>209.269</v>
      </c>
    </row>
    <row r="45">
      <c r="A45" s="108" t="n">
        <v>87</v>
      </c>
      <c r="B45" s="108" t="n">
        <v>7959</v>
      </c>
      <c r="C45" s="113" t="n">
        <v>7699.198</v>
      </c>
      <c r="D45" s="113" t="n">
        <v>259.802</v>
      </c>
    </row>
    <row r="46">
      <c r="A46" s="111" t="n">
        <v>90.3</v>
      </c>
      <c r="B46" s="111" t="n">
        <v>7332</v>
      </c>
      <c r="C46" s="114" t="n">
        <v>7583.453</v>
      </c>
      <c r="D46" s="114" t="n">
        <v>-251.453</v>
      </c>
    </row>
    <row r="47">
      <c r="A47" s="108" t="n">
        <v>98.7</v>
      </c>
      <c r="B47" s="108" t="n">
        <v>5510</v>
      </c>
      <c r="C47" s="113" t="n">
        <v>7288.831</v>
      </c>
      <c r="D47" s="113" t="n">
        <v>-1778.831</v>
      </c>
    </row>
    <row r="48">
      <c r="A48" s="111" t="n">
        <v>91.90000000000001</v>
      </c>
      <c r="B48" s="111" t="n">
        <v>4868</v>
      </c>
      <c r="C48" s="114" t="n">
        <v>7527.335</v>
      </c>
      <c r="D48" s="114" t="n">
        <v>-2659.335</v>
      </c>
    </row>
    <row r="49">
      <c r="A49" s="108" t="n">
        <v>96.5</v>
      </c>
      <c r="B49" s="108" t="n">
        <v>5944</v>
      </c>
      <c r="C49" s="113" t="n">
        <v>7365.994</v>
      </c>
      <c r="D49" s="113" t="n">
        <v>-1421.994</v>
      </c>
    </row>
    <row r="50">
      <c r="A50" s="111" t="n">
        <v>103</v>
      </c>
      <c r="B50" s="111" t="n">
        <v>6169</v>
      </c>
      <c r="C50" s="114" t="n">
        <v>7138.013</v>
      </c>
      <c r="D50" s="114" t="n">
        <v>-969.013</v>
      </c>
    </row>
    <row r="51">
      <c r="A51" s="108" t="n">
        <v>95.7</v>
      </c>
      <c r="B51" s="108" t="n">
        <v>6530</v>
      </c>
      <c r="C51" s="113" t="n">
        <v>7394.053</v>
      </c>
      <c r="D51" s="113" t="n">
        <v>-864.053</v>
      </c>
    </row>
    <row r="52">
      <c r="A52" s="111" t="n">
        <v>99.59999999999999</v>
      </c>
      <c r="B52" s="111" t="n">
        <v>6174</v>
      </c>
      <c r="C52" s="114" t="n">
        <v>7257.264</v>
      </c>
      <c r="D52" s="114" t="n">
        <v>-1083.264</v>
      </c>
    </row>
    <row r="53">
      <c r="A53" s="108" t="n">
        <v>102.9</v>
      </c>
      <c r="B53" s="108" t="n">
        <v>8812</v>
      </c>
      <c r="C53" s="113" t="n">
        <v>7141.52</v>
      </c>
      <c r="D53" s="113" t="n">
        <v>1670.48</v>
      </c>
    </row>
    <row r="54">
      <c r="A54" s="111" t="n">
        <v>89.8</v>
      </c>
      <c r="B54" s="111" t="n">
        <v>9314</v>
      </c>
      <c r="C54" s="114" t="n">
        <v>7600.99</v>
      </c>
      <c r="D54" s="114" t="n">
        <v>1713.01</v>
      </c>
    </row>
    <row r="55">
      <c r="A55" s="108" t="n">
        <v>92.3</v>
      </c>
      <c r="B55" s="108" t="n">
        <v>8473</v>
      </c>
      <c r="C55" s="113" t="n">
        <v>7513.305</v>
      </c>
      <c r="D55" s="113" t="n">
        <v>959.6950000000001</v>
      </c>
    </row>
    <row r="56">
      <c r="A56" s="111" t="n">
        <v>104.6</v>
      </c>
      <c r="B56" s="111" t="n">
        <v>7836</v>
      </c>
      <c r="C56" s="114" t="n">
        <v>7081.894</v>
      </c>
      <c r="D56" s="114" t="n">
        <v>754.106</v>
      </c>
    </row>
    <row r="57">
      <c r="A57" s="108" t="n">
        <v>107.1</v>
      </c>
      <c r="B57" s="108" t="n">
        <v>9236</v>
      </c>
      <c r="C57" s="113" t="n">
        <v>6994.209</v>
      </c>
      <c r="D57" s="113" t="n">
        <v>2241.791</v>
      </c>
    </row>
    <row r="60">
      <c r="A60" s="122" t="inlineStr">
        <is>
          <t>Source: Bloomberg; LME copper spot; ICE DXY Index — annual averages</t>
        </is>
      </c>
    </row>
  </sheetData>
  <mergeCells count="1">
    <mergeCell ref="A60:F6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8" customWidth="1" style="53" min="1" max="1"/>
    <col width="18" customWidth="1" style="53" min="2" max="2"/>
    <col width="18" customWidth="1" style="53" min="3" max="3"/>
    <col width="20" customWidth="1" style="53" min="4" max="4"/>
    <col width="14" customWidth="1" style="53" min="5" max="5"/>
    <col width="22" customWidth="1" style="53" min="6" max="6"/>
    <col width="28" customWidth="1" style="53" min="7" max="7"/>
  </cols>
  <sheetData>
    <row r="1">
      <c r="A1" s="104" t="inlineStr">
        <is>
          <t>LME + SHFE Copper Inventory (kt) — 2015-2025</t>
        </is>
      </c>
    </row>
    <row r="2">
      <c r="A2" s="122" t="inlineStr">
        <is>
          <t>Source: London Metal Exchange, Shanghai Futures Exchange — monthly data</t>
        </is>
      </c>
    </row>
    <row r="4">
      <c r="A4" s="123" t="inlineStr">
        <is>
          <t>Year</t>
        </is>
      </c>
      <c r="B4" s="123" t="inlineStr">
        <is>
          <t>LME Inventory (kt)</t>
        </is>
      </c>
      <c r="C4" s="123" t="inlineStr">
        <is>
          <t>SHFE Inventory (kt)</t>
        </is>
      </c>
      <c r="D4" s="123" t="inlineStr">
        <is>
          <t>Total Exchange Stocks (kt)</t>
        </is>
      </c>
      <c r="E4" s="123" t="inlineStr">
        <is>
          <t>YoY Change (%)</t>
        </is>
      </c>
      <c r="F4" s="123" t="inlineStr">
        <is>
          <t>Days of Demand Coverage</t>
        </is>
      </c>
      <c r="G4" s="123" t="inlineStr">
        <is>
          <t>Signal</t>
        </is>
      </c>
    </row>
    <row r="5">
      <c r="A5" s="113" t="n">
        <v>2015</v>
      </c>
      <c r="B5" s="108" t="n">
        <v>350</v>
      </c>
      <c r="C5" s="108" t="n">
        <v>210</v>
      </c>
      <c r="D5" s="113" t="n">
        <v>560</v>
      </c>
      <c r="E5" s="113" t="inlineStr">
        <is>
          <t>—</t>
        </is>
      </c>
      <c r="F5" s="113" t="n">
        <v>8.199999999999999</v>
      </c>
      <c r="G5" s="113" t="inlineStr">
        <is>
          <t>Neutral</t>
        </is>
      </c>
    </row>
    <row r="6">
      <c r="A6" s="114" t="n">
        <v>2016</v>
      </c>
      <c r="B6" s="111" t="n">
        <v>290</v>
      </c>
      <c r="C6" s="111" t="n">
        <v>185</v>
      </c>
      <c r="D6" s="114" t="n">
        <v>475</v>
      </c>
      <c r="E6" s="114" t="inlineStr">
        <is>
          <t>-15.2%</t>
        </is>
      </c>
      <c r="F6" s="114" t="n">
        <v>6.8</v>
      </c>
      <c r="G6" s="124" t="inlineStr">
        <is>
          <t>Slightly bullish</t>
        </is>
      </c>
    </row>
    <row r="7">
      <c r="A7" s="113" t="n">
        <v>2017</v>
      </c>
      <c r="B7" s="108" t="n">
        <v>340</v>
      </c>
      <c r="C7" s="108" t="n">
        <v>198</v>
      </c>
      <c r="D7" s="113" t="n">
        <v>538</v>
      </c>
      <c r="E7" s="113" t="inlineStr">
        <is>
          <t>+13.3%</t>
        </is>
      </c>
      <c r="F7" s="113" t="n">
        <v>7.5</v>
      </c>
      <c r="G7" s="113" t="inlineStr">
        <is>
          <t>Neutral</t>
        </is>
      </c>
    </row>
    <row r="8">
      <c r="A8" s="114" t="n">
        <v>2018</v>
      </c>
      <c r="B8" s="111" t="n">
        <v>270</v>
      </c>
      <c r="C8" s="111" t="n">
        <v>160</v>
      </c>
      <c r="D8" s="114" t="n">
        <v>430</v>
      </c>
      <c r="E8" s="114" t="inlineStr">
        <is>
          <t>-20.1%</t>
        </is>
      </c>
      <c r="F8" s="114" t="n">
        <v>5.8</v>
      </c>
      <c r="G8" s="124" t="inlineStr">
        <is>
          <t>Bullish</t>
        </is>
      </c>
    </row>
    <row r="9">
      <c r="A9" s="113" t="n">
        <v>2019</v>
      </c>
      <c r="B9" s="108" t="n">
        <v>210</v>
      </c>
      <c r="C9" s="108" t="n">
        <v>145</v>
      </c>
      <c r="D9" s="113" t="n">
        <v>355</v>
      </c>
      <c r="E9" s="113" t="inlineStr">
        <is>
          <t>-17.4%</t>
        </is>
      </c>
      <c r="F9" s="113" t="n">
        <v>4.8</v>
      </c>
      <c r="G9" s="124" t="inlineStr">
        <is>
          <t>Bullish</t>
        </is>
      </c>
    </row>
    <row r="10">
      <c r="A10" s="114" t="n">
        <v>2020</v>
      </c>
      <c r="B10" s="111" t="n">
        <v>155</v>
      </c>
      <c r="C10" s="111" t="n">
        <v>120</v>
      </c>
      <c r="D10" s="114" t="n">
        <v>275</v>
      </c>
      <c r="E10" s="114" t="inlineStr">
        <is>
          <t>-22.5%</t>
        </is>
      </c>
      <c r="F10" s="114" t="n">
        <v>3.6</v>
      </c>
      <c r="G10" s="124" t="inlineStr">
        <is>
          <t>Very bullish</t>
        </is>
      </c>
    </row>
    <row r="11">
      <c r="A11" s="113" t="n">
        <v>2021</v>
      </c>
      <c r="B11" s="108" t="n">
        <v>80</v>
      </c>
      <c r="C11" s="108" t="n">
        <v>85</v>
      </c>
      <c r="D11" s="113" t="n">
        <v>165</v>
      </c>
      <c r="E11" s="113" t="inlineStr">
        <is>
          <t>-40.0%</t>
        </is>
      </c>
      <c r="F11" s="113" t="n">
        <v>2.1</v>
      </c>
      <c r="G11" s="113" t="inlineStr">
        <is>
          <t>Extreme low — deficit signal</t>
        </is>
      </c>
    </row>
    <row r="12">
      <c r="A12" s="114" t="n">
        <v>2022</v>
      </c>
      <c r="B12" s="111" t="n">
        <v>130</v>
      </c>
      <c r="C12" s="111" t="n">
        <v>110</v>
      </c>
      <c r="D12" s="114" t="n">
        <v>240</v>
      </c>
      <c r="E12" s="114" t="inlineStr">
        <is>
          <t>+45.5%</t>
        </is>
      </c>
      <c r="F12" s="114" t="n">
        <v>3</v>
      </c>
      <c r="G12" s="114" t="inlineStr">
        <is>
          <t>Recovering</t>
        </is>
      </c>
    </row>
    <row r="13">
      <c r="A13" s="113" t="n">
        <v>2023</v>
      </c>
      <c r="B13" s="108" t="n">
        <v>185</v>
      </c>
      <c r="C13" s="108" t="n">
        <v>140</v>
      </c>
      <c r="D13" s="113" t="n">
        <v>325</v>
      </c>
      <c r="E13" s="113" t="inlineStr">
        <is>
          <t>+35.4%</t>
        </is>
      </c>
      <c r="F13" s="113" t="n">
        <v>4.1</v>
      </c>
      <c r="G13" s="113" t="inlineStr">
        <is>
          <t>Building</t>
        </is>
      </c>
    </row>
    <row r="14">
      <c r="A14" s="114" t="n">
        <v>2024</v>
      </c>
      <c r="B14" s="111" t="n">
        <v>165</v>
      </c>
      <c r="C14" s="111" t="n">
        <v>125</v>
      </c>
      <c r="D14" s="114" t="n">
        <v>290</v>
      </c>
      <c r="E14" s="114" t="inlineStr">
        <is>
          <t>-10.8%</t>
        </is>
      </c>
      <c r="F14" s="114" t="n">
        <v>3.6</v>
      </c>
      <c r="G14" s="124" t="inlineStr">
        <is>
          <t>Slightly bullish</t>
        </is>
      </c>
    </row>
    <row r="15">
      <c r="A15" s="113" t="n">
        <v>2025</v>
      </c>
      <c r="B15" s="108" t="n">
        <v>120</v>
      </c>
      <c r="C15" s="108" t="n">
        <v>95</v>
      </c>
      <c r="D15" s="113" t="n">
        <v>215</v>
      </c>
      <c r="E15" s="113" t="inlineStr">
        <is>
          <t>-25.9%</t>
        </is>
      </c>
      <c r="F15" s="113" t="n">
        <v>2.6</v>
      </c>
      <c r="G15" s="124" t="inlineStr">
        <is>
          <t>Bullish — deficit signal</t>
        </is>
      </c>
    </row>
  </sheetData>
  <mergeCells count="1">
    <mergeCell ref="A2:F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0" customWidth="1" style="53" min="1" max="1"/>
    <col width="6" customWidth="1" style="53" min="2" max="2"/>
    <col width="10" customWidth="1" style="53" min="3" max="3"/>
    <col width="10" customWidth="1" style="53" min="4" max="4"/>
    <col width="10" customWidth="1" style="53" min="5" max="5"/>
    <col width="10" customWidth="1" style="53" min="6" max="6"/>
    <col width="12" customWidth="1" style="53" min="7" max="7"/>
    <col width="12" customWidth="1" style="53" min="8" max="8"/>
    <col width="12" customWidth="1" style="53" min="9" max="9"/>
    <col width="36" customWidth="1" style="53" min="10" max="10"/>
  </cols>
  <sheetData>
    <row r="1">
      <c r="A1" s="104" t="inlineStr">
        <is>
          <t>Descriptive Statistics — Copper Model Variables</t>
        </is>
      </c>
    </row>
    <row r="3">
      <c r="A3" s="123" t="inlineStr">
        <is>
          <t>Series</t>
        </is>
      </c>
      <c r="B3" s="123" t="inlineStr">
        <is>
          <t>n</t>
        </is>
      </c>
      <c r="C3" s="123" t="inlineStr">
        <is>
          <t>Mean</t>
        </is>
      </c>
      <c r="D3" s="123" t="inlineStr">
        <is>
          <t>Median</t>
        </is>
      </c>
      <c r="E3" s="123" t="inlineStr">
        <is>
          <t>Std Dev</t>
        </is>
      </c>
      <c r="F3" s="123" t="inlineStr">
        <is>
          <t>Min</t>
        </is>
      </c>
      <c r="G3" s="123" t="inlineStr">
        <is>
          <t>Max</t>
        </is>
      </c>
      <c r="H3" s="123" t="inlineStr">
        <is>
          <t>Skewness</t>
        </is>
      </c>
      <c r="I3" s="123" t="inlineStr">
        <is>
          <t>Kurtosis</t>
        </is>
      </c>
      <c r="J3" s="123" t="inlineStr">
        <is>
          <t>Notes</t>
        </is>
      </c>
    </row>
    <row r="4">
      <c r="A4" s="113" t="inlineStr">
        <is>
          <t>DXY Index Level</t>
        </is>
      </c>
      <c r="B4" s="113" t="n">
        <v>15</v>
      </c>
      <c r="C4" s="108" t="n">
        <v>94.59999999999999</v>
      </c>
      <c r="D4" s="108" t="n">
        <v>95.7</v>
      </c>
      <c r="E4" s="108" t="n">
        <v>8.4</v>
      </c>
      <c r="F4" s="108" t="n">
        <v>79.8</v>
      </c>
      <c r="G4" s="108" t="n">
        <v>107.1</v>
      </c>
      <c r="H4" s="113" t="n">
        <v>-0.338</v>
      </c>
      <c r="I4" s="113" t="n">
        <v>-0.802</v>
      </c>
      <c r="J4" s="125" t="inlineStr">
        <is>
          <t>Annual average 2010-2024</t>
        </is>
      </c>
    </row>
    <row r="5">
      <c r="A5" s="113" t="inlineStr">
        <is>
          <t>Copper Price ($/t)</t>
        </is>
      </c>
      <c r="B5" s="113" t="n">
        <v>15</v>
      </c>
      <c r="C5" s="108" t="n">
        <v>7431.9</v>
      </c>
      <c r="D5" s="108" t="n">
        <v>7836</v>
      </c>
      <c r="E5" s="108" t="n">
        <v>1469.4</v>
      </c>
      <c r="F5" s="108" t="n">
        <v>4868</v>
      </c>
      <c r="G5" s="108" t="n">
        <v>9314</v>
      </c>
      <c r="H5" s="113" t="n">
        <v>-0.231</v>
      </c>
      <c r="I5" s="113" t="n">
        <v>-1.281</v>
      </c>
      <c r="J5" s="125" t="inlineStr">
        <is>
          <t>Annual average LME cash 2010-2024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2026-04-01T12:44:25Z</dcterms:created>
  <dcterms:modified xmlns:dcterms="http://purl.org/dc/terms/" xmlns:xsi="http://www.w3.org/2001/XMLSchema-instance" xsi:type="dcterms:W3CDTF">2026-04-02T11:57:42Z</dcterms:modified>
  <cp:revision>0</cp:revision>
</cp:coreProperties>
</file>