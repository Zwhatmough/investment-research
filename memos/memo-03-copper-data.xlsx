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Supply_Demand" sheetId="2" state="visible" r:id="rId4"/>
    <sheet name="Mine_Pipeline" sheetId="3" state="visible" r:id="rId5"/>
    <sheet name="Miner_Comps" sheetId="4" state="visible" r:id="rId6"/>
    <sheet name="Price_DXY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<sst xmlns="http://schemas.openxmlformats.org/spreadsheetml/2006/main" count="276" uniqueCount="251">
  <si>
    <t xml:space="preserve">COPPER: SUPPLY DEFICIT, DISCOUNTED EQUITY COMPLEX &amp; TURNING DOLLAR — APRIL 2026</t>
  </si>
  <si>
    <t xml:space="preserve">Memo 03  |  Sector: Commodities / Energy Transition / Equity  |  Signal: LONG — Price + Miners (3-5yr)</t>
  </si>
  <si>
    <t xml:space="preserve">Key Metrics</t>
  </si>
  <si>
    <t xml:space="preserve">Metric</t>
  </si>
  <si>
    <t xml:space="preserve">Value</t>
  </si>
  <si>
    <t xml:space="preserve">Context</t>
  </si>
  <si>
    <t xml:space="preserve">Source</t>
  </si>
  <si>
    <t xml:space="preserve">LME Copper Spot</t>
  </si>
  <si>
    <t xml:space="preserve">$4.50 / lb</t>
  </si>
  <si>
    <t xml:space="preserve">vs $5.10-5.50 incentive price</t>
  </si>
  <si>
    <t xml:space="preserve">LME, Apr 2026</t>
  </si>
  <si>
    <t xml:space="preserve">Incentive Price (LR)</t>
  </si>
  <si>
    <t xml:space="preserve">$5.10-5.50/lb</t>
  </si>
  <si>
    <t xml:space="preserve">New mine breakeven (Wood MacKenzie)</t>
  </si>
  <si>
    <t xml:space="preserve">Wood MacKenzie 2025</t>
  </si>
  <si>
    <t xml:space="preserve">ICSG Deficit 2032</t>
  </si>
  <si>
    <t xml:space="preserve">8.1 Mt</t>
  </si>
  <si>
    <t xml:space="preserve">Base case / mod. transition</t>
  </si>
  <si>
    <t xml:space="preserve">ICSG 2025</t>
  </si>
  <si>
    <t xml:space="preserve">ICSG Deficit 2032 (accel)</t>
  </si>
  <si>
    <t xml:space="preserve">14.3 Mt</t>
  </si>
  <si>
    <t xml:space="preserve">Accelerated transition scenario</t>
  </si>
  <si>
    <t xml:space="preserve">LME Inventory</t>
  </si>
  <si>
    <t xml:space="preserve">~180,000 t</t>
  </si>
  <si>
    <t xml:space="preserve">~3.1 days global consumption</t>
  </si>
  <si>
    <t xml:space="preserve">DXY</t>
  </si>
  <si>
    <t xml:space="preserve">~100</t>
  </si>
  <si>
    <t xml:space="preserve">Below 102 — first time since 2022</t>
  </si>
  <si>
    <t xml:space="preserve">Bloomberg, Apr 2026</t>
  </si>
  <si>
    <t xml:space="preserve">Copper / DXY corr.</t>
  </si>
  <si>
    <t xml:space="preserve">-0.63</t>
  </si>
  <si>
    <t xml:space="preserve">Since 2010 (annual data)</t>
  </si>
  <si>
    <t xml:space="preserve">Bloomberg</t>
  </si>
  <si>
    <t xml:space="preserve">Miner EV/EBITDA discount</t>
  </si>
  <si>
    <t xml:space="preserve">-22% avg</t>
  </si>
  <si>
    <t xml:space="preserve">vs own 5yr avg (FCX/SCCO/ANTO/TECK/BHP)</t>
  </si>
  <si>
    <t xml:space="preserve">Bloomberg/FactSet</t>
  </si>
  <si>
    <t xml:space="preserve">China copper share</t>
  </si>
  <si>
    <t xml:space="preserve">55%</t>
  </si>
  <si>
    <t xml:space="preserve">% of global consumption</t>
  </si>
  <si>
    <t xml:space="preserve">ICSG</t>
  </si>
  <si>
    <t xml:space="preserve">China grid capex 2026</t>
  </si>
  <si>
    <t xml:space="preserve">CNY 1.1tn</t>
  </si>
  <si>
    <t xml:space="preserve">Incl. ~900,000t incremental demand</t>
  </si>
  <si>
    <t xml:space="preserve">China NEA</t>
  </si>
  <si>
    <t xml:space="preserve">Investment Thesis</t>
  </si>
  <si>
    <t xml:space="preserve">Pillar</t>
  </si>
  <si>
    <t xml:space="preserve">Summary</t>
  </si>
  <si>
    <t xml:space="preserve">1. Energy transition demand</t>
  </si>
  <si>
    <t xml:space="preserve">EVs 4x copper vs ICE; offshore wind 9x/MW vs gas; AI data centres 2-3x density. IEA NZE: demand triples by 2040. Not cyclical.</t>
  </si>
  <si>
    <t xml:space="preserve">2. Supply cannot respond</t>
  </si>
  <si>
    <t xml:space="preserve">16yr avg lead time mine to production. Ore grades 1.5% (1990) to 0.6% (today), +40% unit costs. Even all probable projects delivered on schedule = deficit not closed by 2032.</t>
  </si>
  <si>
    <t xml:space="preserve">3. Dollar cycle catalyst</t>
  </si>
  <si>
    <t xml:space="preserve">-0.63 DXY correlation since 2010. 10-15% DXY decline = 25-35% copper price appreciation historically. DXY broke below 102; 75bp of Fed cuts priced for 2026.</t>
  </si>
  <si>
    <t xml:space="preserve">4. Miners priced for $4.00/lb</t>
  </si>
  <si>
    <t xml:space="preserve">FCX/SCCO/ANTO/TECK/BHP trade 19-27% below own 5yr EV/EBITDA avg. At $5.50/lb, sector EBITDA rises ~35%. Re-rating from both price and multiple.</t>
  </si>
  <si>
    <t xml:space="preserve">Watch / Exit</t>
  </si>
  <si>
    <t xml:space="preserve">Type</t>
  </si>
  <si>
    <t xml:space="preserve">Condition</t>
  </si>
  <si>
    <t xml:space="preserve">Watch (add)</t>
  </si>
  <si>
    <t xml:space="preserve">DXY sustained below 100  /  China PMI above 52  /  LME inventory below 150,000t</t>
  </si>
  <si>
    <t xml:space="preserve">Exit</t>
  </si>
  <si>
    <t xml:space="preserve">DXY rebounds above 106 on Fed reversal  /  China demand misses two consecutive quarters</t>
  </si>
  <si>
    <t xml:space="preserve">Names</t>
  </si>
  <si>
    <t xml:space="preserve">FCX / SCCO / ANTO / TECK / BHP / COPX ETF (basket)</t>
  </si>
  <si>
    <t xml:space="preserve">Copper Global Supply / Demand Model (Mt)  |  2015-2032  |  Source: ICSG, Wood MacKenzie, BloombergNEF, IEA, author modelling</t>
  </si>
  <si>
    <t xml:space="preserve">Year</t>
  </si>
  <si>
    <t xml:space="preserve">2015</t>
  </si>
  <si>
    <t xml:space="preserve">2016</t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</si>
  <si>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</si>
  <si>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</si>
  <si>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</si>
  <si>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</si>
  <si>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</si>
  <si>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</si>
  <si>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</si>
  <si>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</si>
  <si>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</si>
  <si>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t xml:space="preserve">2026</t>
  </si>
  <si>
    <t xml:space="preserve">2027</t>
  </si>
  <si>
    <t xml:space="preserve">2028</t>
  </si>
  <si>
    <t xml:space="preserve">2029</t>
  </si>
  <si>
    <t xml:space="preserve">2030</t>
  </si>
  <si>
    <t xml:space="preserve">2031</t>
  </si>
  <si>
    <t xml:space="preserve">2032</t>
  </si>
  <si>
    <t xml:space="preserve">&lt;-- Actuals (2015-2024)</t>
  </si>
  <si>
    <t xml:space="preserve">Forecast (2025-2032) --&gt;</t>
  </si>
  <si>
    <t xml:space="preserve">DEMAND (Mt)</t>
  </si>
  <si>
    <t xml:space="preserve">Traditional (construction/industrial)</t>
  </si>
  <si>
    <t xml:space="preserve">Energy transition (EV/wind/solar/grid)</t>
  </si>
  <si>
    <t xml:space="preserve">AI / data centres</t>
  </si>
  <si>
    <t xml:space="preserve">TOTAL DEMAND</t>
  </si>
  <si>
    <t xml:space="preserve">SUPPLY (Mt)</t>
  </si>
  <si>
    <t xml:space="preserve">Existing mines (grade decline ~-2.5% pa)</t>
  </si>
  <si>
    <t xml:space="preserve">Committed pipeline (permitted, financed)</t>
  </si>
  <si>
    <t xml:space="preserve">Probable pipeline (best case, all on schedule)</t>
  </si>
  <si>
    <t xml:space="preserve">TOTAL SUPPLY (best case)</t>
  </si>
  <si>
    <t xml:space="preserve">SURPLUS / (DEFICIT)</t>
  </si>
  <si>
    <t xml:space="preserve">Notes:</t>
  </si>
  <si>
    <t xml:space="preserve">Source: ICSG Global Copper Balance 2025, Wood MacKenzie Supply Forecast, BloombergNEF Energy Transition Outlook, IEA Net Zero 2050, author modelling.</t>
  </si>
  <si>
    <t xml:space="preserve">Blue cells = hardcoded inputs. Black cells = formulas. Actuals through 2024; projections from 2025.</t>
  </si>
  <si>
    <t xml:space="preserve">Committed pipeline: Quebrada Blanca Ph2, Quellaveco ramp, Oyu Tolgoi UG, Kamoa-Kakula Ph3, Mina Justa expansion.</t>
  </si>
  <si>
    <t xml:space="preserve">Probable pipeline: pre-feasibility / feasibility stage. Best-case assumes on-schedule delivery of all projects.</t>
  </si>
  <si>
    <t xml:space="preserve">Even under best-case supply scenario, the deficit is not closed by 2032.</t>
  </si>
  <si>
    <t xml:space="preserve">Copper Mine Pipeline — Committed and Probable Projects  |  Source: Wood MacKenzie, company disclosures, ICSG</t>
  </si>
  <si>
    <t xml:space="preserve">Project</t>
  </si>
  <si>
    <t xml:space="preserve">Owner(s)</t>
  </si>
  <si>
    <t xml:space="preserve">Country</t>
  </si>
  <si>
    <t xml:space="preserve">Status</t>
  </si>
  <si>
    <t xml:space="preserve">Est. Output (Ktpa)</t>
  </si>
  <si>
    <t xml:space="preserve">First Production</t>
  </si>
  <si>
    <t xml:space="preserve">Notes</t>
  </si>
  <si>
    <t xml:space="preserve">COMMITTED PIPELINE (relatively high certainty)</t>
  </si>
  <si>
    <t xml:space="preserve">Quebrada Blanca Ph2 (ramp)</t>
  </si>
  <si>
    <t xml:space="preserve">Teck / ENI / ENAMI</t>
  </si>
  <si>
    <t xml:space="preserve">Chile</t>
  </si>
  <si>
    <t xml:space="preserve">Committed</t>
  </si>
  <si>
    <t xml:space="preserve">300</t>
  </si>
  <si>
    <t xml:space="preserve">2023 (ramping)</t>
  </si>
  <si>
    <t xml:space="preserve">Ramping to full capacity 2024-25</t>
  </si>
  <si>
    <t xml:space="preserve">Quellaveco (ramp)</t>
  </si>
  <si>
    <t xml:space="preserve">Anglo American / MCC</t>
  </si>
  <si>
    <t xml:space="preserve">Peru</t>
  </si>
  <si>
    <t xml:space="preserve">2022 (ramping)</t>
  </si>
  <si>
    <t xml:space="preserve">Full capacity from 2023</t>
  </si>
  <si>
    <t xml:space="preserve">Oyu Tolgoi Underground</t>
  </si>
  <si>
    <t xml:space="preserve">Rio Tinto / Turquoise Hill</t>
  </si>
  <si>
    <t xml:space="preserve">Mongolia</t>
  </si>
  <si>
    <t xml:space="preserve">500</t>
  </si>
  <si>
    <t xml:space="preserve">World-class deposit; plateau ~2030</t>
  </si>
  <si>
    <t xml:space="preserve">Kamoa-Kakula Phase 3</t>
  </si>
  <si>
    <t xml:space="preserve">Ivanhoe / Zijin / DRC Govt</t>
  </si>
  <si>
    <t xml:space="preserve">DRC</t>
  </si>
  <si>
    <t xml:space="preserve">420</t>
  </si>
  <si>
    <t xml:space="preserve">2024-2025</t>
  </si>
  <si>
    <t xml:space="preserve">Expanding rapidly; Phase 4 probable</t>
  </si>
  <si>
    <t xml:space="preserve">Mina Justa expansion</t>
  </si>
  <si>
    <t xml:space="preserve">Minsur</t>
  </si>
  <si>
    <t xml:space="preserve">110</t>
  </si>
  <si>
    <t xml:space="preserve">Oxide/sulphide expansion</t>
  </si>
  <si>
    <t xml:space="preserve">Cobre Panama (suspended)</t>
  </si>
  <si>
    <t xml:space="preserve">First Quantum</t>
  </si>
  <si>
    <t xml:space="preserve">Panama</t>
  </si>
  <si>
    <t xml:space="preserve">Suspended</t>
  </si>
  <si>
    <t xml:space="preserve">350</t>
  </si>
  <si>
    <t xml:space="preserve">TBD — political</t>
  </si>
  <si>
    <t xml:space="preserve">Court ordered suspension Nov 2023; major supply risk</t>
  </si>
  <si>
    <t xml:space="preserve">PROBABLE PIPELINE (low certainty — best case only)</t>
  </si>
  <si>
    <t xml:space="preserve">Reko Diq</t>
  </si>
  <si>
    <t xml:space="preserve">Barrick / Pakistan Govt</t>
  </si>
  <si>
    <t xml:space="preserve">Pakistan</t>
  </si>
  <si>
    <t xml:space="preserve">Probable</t>
  </si>
  <si>
    <t xml:space="preserve">200</t>
  </si>
  <si>
    <t xml:space="preserve">2028E</t>
  </si>
  <si>
    <t xml:space="preserve">Pre-feasibility; political risk</t>
  </si>
  <si>
    <t xml:space="preserve">Resolution</t>
  </si>
  <si>
    <t xml:space="preserve">Rio Tinto / BHP</t>
  </si>
  <si>
    <t xml:space="preserve">USA</t>
  </si>
  <si>
    <t xml:space="preserve">400</t>
  </si>
  <si>
    <t xml:space="preserve">2030+E</t>
  </si>
  <si>
    <t xml:space="preserve">Permitting held up in Congress; 16yr+ path</t>
  </si>
  <si>
    <t xml:space="preserve">Tampakan</t>
  </si>
  <si>
    <t xml:space="preserve">Sagittarius Mines</t>
  </si>
  <si>
    <t xml:space="preserve">Philippines</t>
  </si>
  <si>
    <t xml:space="preserve">375</t>
  </si>
  <si>
    <t xml:space="preserve">Environmental permits pending since 2012</t>
  </si>
  <si>
    <t xml:space="preserve">Pebble (Alaska)</t>
  </si>
  <si>
    <t xml:space="preserve">Northern Dynasty</t>
  </si>
  <si>
    <t xml:space="preserve">250</t>
  </si>
  <si>
    <t xml:space="preserve">2035+E</t>
  </si>
  <si>
    <t xml:space="preserve">Federal permitting opposition; highly uncertain</t>
  </si>
  <si>
    <t xml:space="preserve">El Pachon</t>
  </si>
  <si>
    <t xml:space="preserve">Glencore</t>
  </si>
  <si>
    <t xml:space="preserve">Argentina</t>
  </si>
  <si>
    <t xml:space="preserve">Feasibility study; Argentine political risk</t>
  </si>
  <si>
    <t xml:space="preserve">Los Helados</t>
  </si>
  <si>
    <t xml:space="preserve">JX Nippon / CAP</t>
  </si>
  <si>
    <t xml:space="preserve">180</t>
  </si>
  <si>
    <t xml:space="preserve">2031+E</t>
  </si>
  <si>
    <t xml:space="preserve">Environmental review stage</t>
  </si>
  <si>
    <t xml:space="preserve">Schaft Creek</t>
  </si>
  <si>
    <t xml:space="preserve">Teck / Copper Fox</t>
  </si>
  <si>
    <t xml:space="preserve">Canada</t>
  </si>
  <si>
    <t xml:space="preserve">150</t>
  </si>
  <si>
    <t xml:space="preserve">2032+E</t>
  </si>
  <si>
    <t xml:space="preserve">Pre-feasibility; infrastructure limited</t>
  </si>
  <si>
    <t xml:space="preserve">Key observation: Cobre Panama suspension removes ~350Ktpa from supply. Even full probable delivery does not offset this plus grade decline by 2032.</t>
  </si>
  <si>
    <t xml:space="preserve">Copper Miner EV/EBITDA Comparables  |  Source: Bloomberg, FactSet consensus  |  April 2026</t>
  </si>
  <si>
    <t xml:space="preserve">Company</t>
  </si>
  <si>
    <t xml:space="preserve">Ticker</t>
  </si>
  <si>
    <t xml:space="preserve">Current EV/EBITDA
(2026E)</t>
  </si>
  <si>
    <t xml:space="preserve">5yr Avg EV/EBITDA</t>
  </si>
  <si>
    <t xml:space="preserve">Discount (%)</t>
  </si>
  <si>
    <t xml:space="preserve">Copper % revenue</t>
  </si>
  <si>
    <t xml:space="preserve">Primary geography</t>
  </si>
  <si>
    <t xml:space="preserve">Note</t>
  </si>
  <si>
    <t xml:space="preserve">Freeport-McMoRan</t>
  </si>
  <si>
    <t xml:space="preserve">FCX US</t>
  </si>
  <si>
    <t xml:space="preserve">75%</t>
  </si>
  <si>
    <t xml:space="preserve">USA/Peru/Indonesia</t>
  </si>
  <si>
    <t xml:space="preserve">Largest pure-play; Grasberg ramp key</t>
  </si>
  <si>
    <t xml:space="preserve">Southern Copper</t>
  </si>
  <si>
    <t xml:space="preserve">SCCO US</t>
  </si>
  <si>
    <t xml:space="preserve">80%</t>
  </si>
  <si>
    <t xml:space="preserve">Mexico/Peru</t>
  </si>
  <si>
    <t xml:space="preserve">Highest quality assets; family controlled (Grupo Mexico)</t>
  </si>
  <si>
    <t xml:space="preserve">BHP Group</t>
  </si>
  <si>
    <t xml:space="preserve">BHP AU</t>
  </si>
  <si>
    <t xml:space="preserve">~30%</t>
  </si>
  <si>
    <t xml:space="preserve">Chile/Australia</t>
  </si>
  <si>
    <t xml:space="preserve">Diversified; copper growing post-coal exit</t>
  </si>
  <si>
    <t xml:space="preserve">Antofagasta</t>
  </si>
  <si>
    <t xml:space="preserve">ANTO LN</t>
  </si>
  <si>
    <t xml:space="preserve">90%</t>
  </si>
  <si>
    <t xml:space="preserve">Pure-play; Pelambres expansion key</t>
  </si>
  <si>
    <t xml:space="preserve">Teck Resources</t>
  </si>
  <si>
    <t xml:space="preserve">TECK B CN</t>
  </si>
  <si>
    <t xml:space="preserve">~70%</t>
  </si>
  <si>
    <t xml:space="preserve">Chile/Canada/Peru</t>
  </si>
  <si>
    <t xml:space="preserve">Post-coal pivot complete; QB2 key growth driver</t>
  </si>
  <si>
    <t xml:space="preserve">SECTOR MEDIAN</t>
  </si>
  <si>
    <t xml:space="preserve">Price sensitivity: copper price vs sector EBITDA</t>
  </si>
  <si>
    <t xml:space="preserve">Copper price ($/lb)</t>
  </si>
  <si>
    <t xml:space="preserve">$4.00</t>
  </si>
  <si>
    <t xml:space="preserve">$4.50 (spot)</t>
  </si>
  <si>
    <t xml:space="preserve">$5.00</t>
  </si>
  <si>
    <t xml:space="preserve">$5.50 (incentive)</t>
  </si>
  <si>
    <t xml:space="preserve">$6.00</t>
  </si>
  <si>
    <t xml:space="preserve">Sector EBITDA index (base=4.50)</t>
  </si>
  <si>
    <t xml:space="preserve">Source: Bloomberg consensus estimates April 2026 / FactSet. EV/EBITDA multiples are NTM basis. 5yr averages computed from 2021-2025 annual consensus.</t>
  </si>
  <si>
    <t xml:space="preserve">LME Copper Price vs DXY Index  |  Annual data 2010-2026E  |  Source: LME, Bloomberg, Federal Reserve</t>
  </si>
  <si>
    <t xml:space="preserve">LME Copper ($/lb)</t>
  </si>
  <si>
    <t xml:space="preserve">LME Copper ($/t)</t>
  </si>
  <si>
    <t xml:space="preserve">DXY Index (avg)</t>
  </si>
  <si>
    <t xml:space="preserve">DXY YoY Change (%)</t>
  </si>
  <si>
    <t xml:space="preserve">n/a</t>
  </si>
  <si>
    <t xml:space="preserve">USD strengthens — copper -15%</t>
  </si>
  <si>
    <t xml:space="preserve">USD surge; China slowdown fears</t>
  </si>
  <si>
    <t xml:space="preserve">DXY peaks post-election</t>
  </si>
  <si>
    <t xml:space="preserve">DXY weakens; copper +27%</t>
  </si>
  <si>
    <t xml:space="preserve">Trade war pressure</t>
  </si>
  <si>
    <t xml:space="preserve">COVID shock then recovery</t>
  </si>
  <si>
    <t xml:space="preserve">Post-COVID demand surge; copper +52%</t>
  </si>
  <si>
    <t xml:space="preserve">Fed hikes; DXY +14%; copper -13%</t>
  </si>
  <si>
    <t xml:space="preserve">DXY softens; copper recovers</t>
  </si>
  <si>
    <t xml:space="preserve">DXY resilient; copper +13% on AI/ET demand</t>
  </si>
  <si>
    <t xml:space="preserve">DXY breaks lower; Fed cuts begin</t>
  </si>
  <si>
    <t xml:space="preserve">ESTIMATE — DXY 75bp cut path; deficit visibility grows</t>
  </si>
  <si>
    <t xml:space="preserve">Copper / DXY correlation (2010-2025):</t>
  </si>
  <si>
    <t xml:space="preserve">Source: Bloomberg</t>
  </si>
  <si>
    <t xml:space="preserve">Interpretation: a 10-15% DXY decline has historically corresponded to 25-35% copper price appreciation. DXY at ~100 (Apr 2026) vs 2022 peak of 114.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</si>
</sst>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0.00"/>
    <numFmt numFmtId="166" formatCode="0.00;\(0.00\);\-"/>
    <numFmt numFmtId="167" formatCode="0.0\x"/>
    <numFmt numFmtId="168" formatCode="0.0%;\(0.0%\);\-"/>
    <numFmt numFmtId="169" formatCode="\$0.00"/>
    <numFmt numFmtId="170" formatCode="\$#,##0"/>
    <numFmt numFmtId="171" formatCode="0.0"/>
  </numFmts>
  <fonts count="2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FFFFFF"/>
      <name val="Arial"/>
      <family val="0"/>
      <charset val="1"/>
    </font>
    <font>
      <i val="true"/>
      <sz val="9"/>
      <color rgb="FFFFFF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9"/>
      <color rgb="FF000000"/>
      <name val="Arial"/>
      <family val="0"/>
      <charset val="1"/>
    </font>
    <font>
      <sz val="9"/>
      <color rgb="FF0000FF"/>
      <name val="Arial"/>
      <family val="0"/>
      <charset val="1"/>
    </font>
    <font>
      <i val="true"/>
      <sz val="8"/>
      <color rgb="FF000000"/>
      <name val="Arial"/>
      <family val="0"/>
      <charset val="1"/>
    </font>
    <font>
      <sz val="9"/>
      <color rgb="FF000000"/>
      <name val="Arial"/>
      <family val="0"/>
      <charset val="1"/>
    </font>
    <font>
      <b val="true"/>
      <sz val="8"/>
      <color rgb="FFFFFFFF"/>
      <name val="Arial"/>
      <family val="0"/>
      <charset val="1"/>
    </font>
    <font>
      <i val="true"/>
      <sz val="8"/>
      <color rgb="FF1E6FA8"/>
      <name val="Arial"/>
      <family val="0"/>
      <charset val="1"/>
    </font>
    <font>
      <i val="true"/>
      <sz val="8"/>
      <color rgb="FF1A3A5C"/>
      <name val="Arial"/>
      <family val="0"/>
      <charset val="1"/>
    </font>
    <font>
      <b val="true"/>
      <sz val="8"/>
      <color rgb="FF000000"/>
      <name val="Arial"/>
      <family val="0"/>
      <charset val="1"/>
    </font>
    <font>
      <i val="true"/>
      <sz val="7"/>
      <color rgb="FF000000"/>
      <name val="Arial"/>
      <family val="0"/>
      <charset val="1"/>
    </font>
    <font>
      <i val="true"/>
      <sz val="9"/>
      <color rgb="FF000000"/>
      <name val="Arial"/>
      <family val="0"/>
      <charset val="1"/>
    </font>
    <font>
      <b val="true"/>
      <i val="true"/>
      <sz val="8"/>
      <color rgb="FFC0392B"/>
      <name val="Arial"/>
      <family val="0"/>
      <charset val="1"/>
    </font>
    <font>
      <b val="true"/>
      <sz val="9"/>
      <color rgb="FFC0392B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0D1F3C"/>
        <bgColor rgb="FF1A3A5C"/>
      </patternFill>
    </fill>
    <fill>
      <patternFill patternType="solid">
        <fgColor rgb="FF1A3A5C"/>
        <bgColor rgb="FF0D1F3C"/>
      </patternFill>
    </fill>
    <fill>
      <patternFill patternType="solid">
        <fgColor rgb="FF1E6FA8"/>
        <bgColor rgb="FF008080"/>
      </patternFill>
    </fill>
    <fill>
      <patternFill patternType="solid">
        <fgColor rgb="FF2A7D4F"/>
        <bgColor rgb="FF008080"/>
      </patternFill>
    </fill>
    <fill>
      <patternFill patternType="solid">
        <fgColor rgb="FFC0392B"/>
        <bgColor rgb="FF993366"/>
      </patternFill>
    </fill>
    <fill>
      <patternFill patternType="solid">
        <fgColor rgb="FFEBF5FB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9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1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9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1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EBF5FB"/>
      <rgbColor rgb="FF660066"/>
      <rgbColor rgb="FFFF8080"/>
      <rgbColor rgb="FF1E6FA8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A3A5C"/>
      <rgbColor rgb="FF2A7D4F"/>
      <rgbColor rgb="FF003300"/>
      <rgbColor rgb="FF333300"/>
      <rgbColor rgb="FFC0392B"/>
      <rgbColor rgb="FF993366"/>
      <rgbColor rgb="FF333399"/>
      <rgbColor rgb="FF0D1F3C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22"/>
    <col collapsed="false" customWidth="true" hidden="false" outlineLevel="0" max="3" min="3" style="0" width="18"/>
    <col collapsed="false" customWidth="true" hidden="false" outlineLevel="0" max="4" min="4" style="0" width="22"/>
    <col collapsed="false" customWidth="true" hidden="false" outlineLevel="0" max="5" min="5" style="0" width="18"/>
  </cols>
  <sheetData>
    <row r="1" customFormat="false" ht="21.75" hidden="false" customHeight="true" outlineLevel="0" collapsed="false">
      <c r="A1" s="1" t="s">
        <v>0</v>
      </c>
      <c r="B1" s="1"/>
      <c r="C1" s="1"/>
      <c r="D1" s="1"/>
      <c r="E1" s="1"/>
    </row>
    <row r="2" customFormat="false" ht="15" hidden="false" customHeight="false" outlineLevel="0" collapsed="false">
      <c r="A2" s="2" t="s">
        <v>1</v>
      </c>
      <c r="B2" s="2"/>
      <c r="C2" s="2"/>
      <c r="D2" s="2"/>
      <c r="E2" s="2"/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4" t="s">
        <v>3</v>
      </c>
      <c r="B5" s="4" t="s">
        <v>4</v>
      </c>
      <c r="C5" s="4" t="s">
        <v>5</v>
      </c>
      <c r="D5" s="4" t="s">
        <v>6</v>
      </c>
    </row>
    <row r="6" customFormat="false" ht="15" hidden="false" customHeight="true" outlineLevel="0" collapsed="false">
      <c r="A6" s="5" t="s">
        <v>7</v>
      </c>
      <c r="B6" s="6" t="s">
        <v>8</v>
      </c>
      <c r="C6" s="7" t="s">
        <v>9</v>
      </c>
      <c r="D6" s="7" t="s">
        <v>10</v>
      </c>
    </row>
    <row r="7" customFormat="false" ht="15" hidden="false" customHeight="true" outlineLevel="0" collapsed="false">
      <c r="A7" s="5" t="s">
        <v>11</v>
      </c>
      <c r="B7" s="6" t="s">
        <v>12</v>
      </c>
      <c r="C7" s="7" t="s">
        <v>13</v>
      </c>
      <c r="D7" s="7" t="s">
        <v>14</v>
      </c>
    </row>
    <row r="8" customFormat="false" ht="15" hidden="false" customHeight="true" outlineLevel="0" collapsed="false">
      <c r="A8" s="5" t="s">
        <v>15</v>
      </c>
      <c r="B8" s="6" t="s">
        <v>16</v>
      </c>
      <c r="C8" s="7" t="s">
        <v>17</v>
      </c>
      <c r="D8" s="7" t="s">
        <v>18</v>
      </c>
    </row>
    <row r="9" customFormat="false" ht="15" hidden="false" customHeight="true" outlineLevel="0" collapsed="false">
      <c r="A9" s="5" t="s">
        <v>19</v>
      </c>
      <c r="B9" s="6" t="s">
        <v>20</v>
      </c>
      <c r="C9" s="7" t="s">
        <v>21</v>
      </c>
      <c r="D9" s="7" t="s">
        <v>18</v>
      </c>
    </row>
    <row r="10" customFormat="false" ht="15" hidden="false" customHeight="true" outlineLevel="0" collapsed="false">
      <c r="A10" s="5" t="s">
        <v>22</v>
      </c>
      <c r="B10" s="6" t="s">
        <v>23</v>
      </c>
      <c r="C10" s="7" t="s">
        <v>24</v>
      </c>
      <c r="D10" s="7" t="s">
        <v>10</v>
      </c>
    </row>
    <row r="11" customFormat="false" ht="15" hidden="false" customHeight="true" outlineLevel="0" collapsed="false">
      <c r="A11" s="5" t="s">
        <v>25</v>
      </c>
      <c r="B11" s="6" t="s">
        <v>26</v>
      </c>
      <c r="C11" s="7" t="s">
        <v>27</v>
      </c>
      <c r="D11" s="7" t="s">
        <v>28</v>
      </c>
    </row>
    <row r="12" customFormat="false" ht="15" hidden="false" customHeight="true" outlineLevel="0" collapsed="false">
      <c r="A12" s="5" t="s">
        <v>29</v>
      </c>
      <c r="B12" s="6" t="s">
        <v>30</v>
      </c>
      <c r="C12" s="7" t="s">
        <v>31</v>
      </c>
      <c r="D12" s="7" t="s">
        <v>32</v>
      </c>
    </row>
    <row r="13" customFormat="false" ht="15" hidden="false" customHeight="true" outlineLevel="0" collapsed="false">
      <c r="A13" s="5" t="s">
        <v>33</v>
      </c>
      <c r="B13" s="6" t="s">
        <v>34</v>
      </c>
      <c r="C13" s="7" t="s">
        <v>35</v>
      </c>
      <c r="D13" s="7" t="s">
        <v>36</v>
      </c>
    </row>
    <row r="14" customFormat="false" ht="15" hidden="false" customHeight="true" outlineLevel="0" collapsed="false">
      <c r="A14" s="5" t="s">
        <v>37</v>
      </c>
      <c r="B14" s="6" t="s">
        <v>38</v>
      </c>
      <c r="C14" s="7" t="s">
        <v>39</v>
      </c>
      <c r="D14" s="7" t="s">
        <v>40</v>
      </c>
    </row>
    <row r="15" customFormat="false" ht="15" hidden="false" customHeight="true" outlineLevel="0" collapsed="false">
      <c r="A15" s="5" t="s">
        <v>41</v>
      </c>
      <c r="B15" s="6" t="s">
        <v>42</v>
      </c>
      <c r="C15" s="7" t="s">
        <v>43</v>
      </c>
      <c r="D15" s="7" t="s">
        <v>44</v>
      </c>
    </row>
    <row r="17" customFormat="false" ht="15" hidden="false" customHeight="false" outlineLevel="0" collapsed="false">
      <c r="A17" s="3" t="s">
        <v>45</v>
      </c>
    </row>
    <row r="18" customFormat="false" ht="15" hidden="false" customHeight="false" outlineLevel="0" collapsed="false">
      <c r="A18" s="4" t="s">
        <v>46</v>
      </c>
      <c r="B18" s="4" t="s">
        <v>47</v>
      </c>
    </row>
    <row r="19" customFormat="false" ht="30" hidden="false" customHeight="true" outlineLevel="0" collapsed="false">
      <c r="A19" s="8" t="s">
        <v>48</v>
      </c>
      <c r="B19" s="9" t="s">
        <v>49</v>
      </c>
    </row>
    <row r="20" customFormat="false" ht="30" hidden="false" customHeight="true" outlineLevel="0" collapsed="false">
      <c r="A20" s="8" t="s">
        <v>50</v>
      </c>
      <c r="B20" s="9" t="s">
        <v>51</v>
      </c>
    </row>
    <row r="21" customFormat="false" ht="30" hidden="false" customHeight="true" outlineLevel="0" collapsed="false">
      <c r="A21" s="8" t="s">
        <v>52</v>
      </c>
      <c r="B21" s="9" t="s">
        <v>53</v>
      </c>
    </row>
    <row r="22" customFormat="false" ht="30" hidden="false" customHeight="true" outlineLevel="0" collapsed="false">
      <c r="A22" s="8" t="s">
        <v>54</v>
      </c>
      <c r="B22" s="9" t="s">
        <v>55</v>
      </c>
    </row>
    <row r="24" customFormat="false" ht="15" hidden="false" customHeight="false" outlineLevel="0" collapsed="false">
      <c r="A24" s="3" t="s">
        <v>56</v>
      </c>
    </row>
    <row r="25" customFormat="false" ht="15" hidden="false" customHeight="false" outlineLevel="0" collapsed="false">
      <c r="A25" s="4" t="s">
        <v>57</v>
      </c>
      <c r="B25" s="4" t="s">
        <v>58</v>
      </c>
    </row>
    <row r="26" customFormat="false" ht="18" hidden="false" customHeight="true" outlineLevel="0" collapsed="false">
      <c r="A26" s="8" t="s">
        <v>59</v>
      </c>
      <c r="B26" s="10" t="s">
        <v>60</v>
      </c>
    </row>
    <row r="27" customFormat="false" ht="18" hidden="false" customHeight="true" outlineLevel="0" collapsed="false">
      <c r="A27" s="8" t="s">
        <v>61</v>
      </c>
      <c r="B27" s="10" t="s">
        <v>62</v>
      </c>
    </row>
    <row r="29" customFormat="false" ht="15" hidden="false" customHeight="false" outlineLevel="0" collapsed="false">
      <c r="A29" s="3" t="s">
        <v>63</v>
      </c>
    </row>
    <row r="30" customFormat="false" ht="15" hidden="false" customHeight="false" outlineLevel="0" collapsed="false">
      <c r="A30" s="8" t="s">
        <v>64</v>
      </c>
    </row>
  </sheetData>
  <mergeCells count="2">
    <mergeCell ref="A1:E1"/>
    <mergeCell ref="A2:E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36"/>
    <col collapsed="false" customWidth="true" hidden="false" outlineLevel="0" max="20" min="2" style="0" width="8"/>
  </cols>
  <sheetData>
    <row r="1" customFormat="false" ht="18" hidden="false" customHeight="true" outlineLevel="0" collapsed="false">
      <c r="A1" s="11" t="s">
        <v>65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</row>
    <row r="2" customFormat="false" ht="15" hidden="false" customHeight="false" outlineLevel="0" collapsed="false">
      <c r="A2" s="12" t="s">
        <v>66</v>
      </c>
      <c r="B2" s="13" t="s">
        <v>67</v>
      </c>
      <c r="C2" s="13" t="s">
        <v>68</v>
      </c>
      <c r="D2" s="13" t="s">
        <v>69</v>
      </c>
      <c r="E2" s="13" t="s">
        <v>70</v>
      </c>
      <c r="F2" s="13" t="s">
        <v>71</v>
      </c>
      <c r="G2" s="13" t="s">
        <v>72</v>
      </c>
      <c r="H2" s="13" t="s">
        <v>73</v>
      </c>
      <c r="I2" s="13" t="s">
        <v>74</v>
      </c>
      <c r="J2" s="13" t="s">
        <v>75</v>
      </c>
      <c r="K2" s="13" t="s">
        <v>76</v>
      </c>
      <c r="L2" s="14" t="s">
        <v>77</v>
      </c>
      <c r="M2" s="14" t="s">
        <v>78</v>
      </c>
      <c r="N2" s="14" t="s">
        <v>79</v>
      </c>
      <c r="O2" s="14" t="s">
        <v>80</v>
      </c>
      <c r="P2" s="14" t="s">
        <v>81</v>
      </c>
      <c r="Q2" s="14" t="s">
        <v>82</v>
      </c>
      <c r="R2" s="14" t="s">
        <v>83</v>
      </c>
      <c r="S2" s="14" t="s">
        <v>84</v>
      </c>
    </row>
    <row r="3" customFormat="false" ht="15" hidden="false" customHeight="false" outlineLevel="0" collapsed="false">
      <c r="B3" s="15" t="s">
        <v>85</v>
      </c>
      <c r="C3" s="15"/>
      <c r="D3" s="15"/>
      <c r="E3" s="15"/>
      <c r="F3" s="15"/>
      <c r="G3" s="15"/>
      <c r="H3" s="15"/>
      <c r="I3" s="15"/>
      <c r="J3" s="15"/>
      <c r="K3" s="15"/>
      <c r="L3" s="16" t="s">
        <v>86</v>
      </c>
      <c r="M3" s="16"/>
      <c r="N3" s="16"/>
      <c r="O3" s="16"/>
      <c r="P3" s="16"/>
      <c r="Q3" s="16"/>
      <c r="R3" s="16"/>
      <c r="S3" s="16"/>
    </row>
    <row r="4" customFormat="false" ht="15" hidden="false" customHeight="false" outlineLevel="0" collapsed="false">
      <c r="A4" s="3" t="s">
        <v>87</v>
      </c>
    </row>
    <row r="5" customFormat="false" ht="15" hidden="false" customHeight="false" outlineLevel="0" collapsed="false">
      <c r="A5" s="10" t="s">
        <v>88</v>
      </c>
      <c r="B5" s="17" t="n">
        <v>14.1</v>
      </c>
      <c r="C5" s="17" t="n">
        <v>14.4</v>
      </c>
      <c r="D5" s="17" t="n">
        <v>14.6</v>
      </c>
      <c r="E5" s="17" t="n">
        <v>14.9</v>
      </c>
      <c r="F5" s="17" t="n">
        <v>15.2</v>
      </c>
      <c r="G5" s="17" t="n">
        <v>15.4</v>
      </c>
      <c r="H5" s="17" t="n">
        <v>15.6</v>
      </c>
      <c r="I5" s="17" t="n">
        <v>15.9</v>
      </c>
      <c r="J5" s="17" t="n">
        <v>16.2</v>
      </c>
      <c r="K5" s="17" t="n">
        <v>16.4</v>
      </c>
      <c r="L5" s="17" t="n">
        <v>16.6</v>
      </c>
      <c r="M5" s="17" t="n">
        <v>16.8</v>
      </c>
      <c r="N5" s="17" t="n">
        <v>17.1</v>
      </c>
      <c r="O5" s="17" t="n">
        <v>17.3</v>
      </c>
      <c r="P5" s="17" t="n">
        <v>17.5</v>
      </c>
      <c r="Q5" s="17" t="n">
        <v>17.7</v>
      </c>
      <c r="R5" s="17" t="n">
        <v>18</v>
      </c>
      <c r="S5" s="17" t="n">
        <v>18.2</v>
      </c>
    </row>
    <row r="6" customFormat="false" ht="15" hidden="false" customHeight="false" outlineLevel="0" collapsed="false">
      <c r="A6" s="10" t="s">
        <v>89</v>
      </c>
      <c r="B6" s="17" t="n">
        <v>0.85</v>
      </c>
      <c r="C6" s="17" t="n">
        <v>1.05</v>
      </c>
      <c r="D6" s="17" t="n">
        <v>1.25</v>
      </c>
      <c r="E6" s="17" t="n">
        <v>1.55</v>
      </c>
      <c r="F6" s="17" t="n">
        <v>1.95</v>
      </c>
      <c r="G6" s="17" t="n">
        <v>2.45</v>
      </c>
      <c r="H6" s="17" t="n">
        <v>3.05</v>
      </c>
      <c r="I6" s="17" t="n">
        <v>3.75</v>
      </c>
      <c r="J6" s="17" t="n">
        <v>4.5</v>
      </c>
      <c r="K6" s="17" t="n">
        <v>5.25</v>
      </c>
      <c r="L6" s="17" t="n">
        <v>6.1</v>
      </c>
      <c r="M6" s="17" t="n">
        <v>7</v>
      </c>
      <c r="N6" s="17" t="n">
        <v>7.95</v>
      </c>
      <c r="O6" s="17" t="n">
        <v>8.85</v>
      </c>
      <c r="P6" s="17" t="n">
        <v>9.75</v>
      </c>
      <c r="Q6" s="17" t="n">
        <v>10.6</v>
      </c>
      <c r="R6" s="17" t="n">
        <v>11.45</v>
      </c>
      <c r="S6" s="17" t="n">
        <v>12.3</v>
      </c>
    </row>
    <row r="7" customFormat="false" ht="15" hidden="false" customHeight="false" outlineLevel="0" collapsed="false">
      <c r="A7" s="10" t="s">
        <v>90</v>
      </c>
      <c r="B7" s="17" t="n">
        <v>0.02</v>
      </c>
      <c r="C7" s="17" t="n">
        <v>0.04</v>
      </c>
      <c r="D7" s="17" t="n">
        <v>0.07</v>
      </c>
      <c r="E7" s="17" t="n">
        <v>0.1</v>
      </c>
      <c r="F7" s="17" t="n">
        <v>0.13</v>
      </c>
      <c r="G7" s="17" t="n">
        <v>0.18</v>
      </c>
      <c r="H7" s="17" t="n">
        <v>0.25</v>
      </c>
      <c r="I7" s="17" t="n">
        <v>0.35</v>
      </c>
      <c r="J7" s="17" t="n">
        <v>0.48</v>
      </c>
      <c r="K7" s="17" t="n">
        <v>0.62</v>
      </c>
      <c r="L7" s="17" t="n">
        <v>0.8</v>
      </c>
      <c r="M7" s="17" t="n">
        <v>1</v>
      </c>
      <c r="N7" s="17" t="n">
        <v>1.25</v>
      </c>
      <c r="O7" s="17" t="n">
        <v>1.5</v>
      </c>
      <c r="P7" s="17" t="n">
        <v>1.78</v>
      </c>
      <c r="Q7" s="17" t="n">
        <v>2.05</v>
      </c>
      <c r="R7" s="17" t="n">
        <v>2.35</v>
      </c>
      <c r="S7" s="17" t="n">
        <v>2.65</v>
      </c>
    </row>
    <row r="8" customFormat="false" ht="15" hidden="false" customHeight="false" outlineLevel="0" collapsed="false">
      <c r="A8" s="18" t="s">
        <v>91</v>
      </c>
      <c r="B8" s="19" t="n">
        <f aca="false">SUM(B5:B7)</f>
        <v>14.97</v>
      </c>
      <c r="C8" s="19" t="n">
        <f aca="false">SUM(C5:C7)</f>
        <v>15.49</v>
      </c>
      <c r="D8" s="19" t="n">
        <f aca="false">SUM(D5:D7)</f>
        <v>15.92</v>
      </c>
      <c r="E8" s="19" t="n">
        <f aca="false">SUM(E5:E7)</f>
        <v>16.55</v>
      </c>
      <c r="F8" s="19" t="n">
        <f aca="false">SUM(F5:F7)</f>
        <v>17.28</v>
      </c>
      <c r="G8" s="19" t="n">
        <f aca="false">SUM(G5:G7)</f>
        <v>18.03</v>
      </c>
      <c r="H8" s="19" t="n">
        <f aca="false">SUM(H5:H7)</f>
        <v>18.9</v>
      </c>
      <c r="I8" s="19" t="n">
        <f aca="false">SUM(I5:I7)</f>
        <v>20</v>
      </c>
      <c r="J8" s="19" t="n">
        <f aca="false">SUM(J5:J7)</f>
        <v>21.18</v>
      </c>
      <c r="K8" s="19" t="n">
        <f aca="false">SUM(K5:K7)</f>
        <v>22.27</v>
      </c>
      <c r="L8" s="19" t="n">
        <f aca="false">SUM(L5:L7)</f>
        <v>23.5</v>
      </c>
      <c r="M8" s="19" t="n">
        <f aca="false">SUM(M5:M7)</f>
        <v>24.8</v>
      </c>
      <c r="N8" s="19" t="n">
        <f aca="false">SUM(N5:N7)</f>
        <v>26.3</v>
      </c>
      <c r="O8" s="19" t="n">
        <f aca="false">SUM(O5:O7)</f>
        <v>27.65</v>
      </c>
      <c r="P8" s="19" t="n">
        <f aca="false">SUM(P5:P7)</f>
        <v>29.03</v>
      </c>
      <c r="Q8" s="19" t="n">
        <f aca="false">SUM(Q5:Q7)</f>
        <v>30.35</v>
      </c>
      <c r="R8" s="19" t="n">
        <f aca="false">SUM(R5:R7)</f>
        <v>31.8</v>
      </c>
      <c r="S8" s="19" t="n">
        <f aca="false">SUM(S5:S7)</f>
        <v>33.15</v>
      </c>
    </row>
    <row r="10" customFormat="false" ht="15" hidden="false" customHeight="false" outlineLevel="0" collapsed="false">
      <c r="A10" s="3" t="s">
        <v>92</v>
      </c>
    </row>
    <row r="11" customFormat="false" ht="15" hidden="false" customHeight="false" outlineLevel="0" collapsed="false">
      <c r="A11" s="10" t="s">
        <v>93</v>
      </c>
      <c r="B11" s="17" t="n">
        <v>15.5</v>
      </c>
      <c r="C11" s="17" t="n">
        <v>15.8</v>
      </c>
      <c r="D11" s="17" t="n">
        <v>16.1</v>
      </c>
      <c r="E11" s="17" t="n">
        <v>16.4</v>
      </c>
      <c r="F11" s="17" t="n">
        <v>16.7</v>
      </c>
      <c r="G11" s="17" t="n">
        <v>17</v>
      </c>
      <c r="H11" s="17" t="n">
        <v>17.2</v>
      </c>
      <c r="I11" s="17" t="n">
        <v>17.3</v>
      </c>
      <c r="J11" s="17" t="n">
        <v>17.4</v>
      </c>
      <c r="K11" s="17" t="n">
        <v>17.5</v>
      </c>
      <c r="L11" s="17" t="n">
        <v>17.5</v>
      </c>
      <c r="M11" s="17" t="n">
        <v>17.4</v>
      </c>
      <c r="N11" s="17" t="n">
        <v>17.3</v>
      </c>
      <c r="O11" s="17" t="n">
        <v>17.2</v>
      </c>
      <c r="P11" s="17" t="n">
        <v>17.1</v>
      </c>
      <c r="Q11" s="17" t="n">
        <v>17</v>
      </c>
      <c r="R11" s="17" t="n">
        <v>16.9</v>
      </c>
      <c r="S11" s="17" t="n">
        <v>16.8</v>
      </c>
    </row>
    <row r="12" customFormat="false" ht="15" hidden="false" customHeight="false" outlineLevel="0" collapsed="false">
      <c r="A12" s="10" t="s">
        <v>94</v>
      </c>
      <c r="B12" s="17" t="n">
        <v>0</v>
      </c>
      <c r="C12" s="17" t="n">
        <v>0</v>
      </c>
      <c r="D12" s="17" t="n">
        <v>0.1</v>
      </c>
      <c r="E12" s="17" t="n">
        <v>0.2</v>
      </c>
      <c r="F12" s="17" t="n">
        <v>0.2</v>
      </c>
      <c r="G12" s="17" t="n">
        <v>0.3</v>
      </c>
      <c r="H12" s="17" t="n">
        <v>0.4</v>
      </c>
      <c r="I12" s="17" t="n">
        <v>0.5</v>
      </c>
      <c r="J12" s="17" t="n">
        <v>0.6</v>
      </c>
      <c r="K12" s="17" t="n">
        <v>0.7</v>
      </c>
      <c r="L12" s="17" t="n">
        <v>0.8</v>
      </c>
      <c r="M12" s="17" t="n">
        <v>0.9</v>
      </c>
      <c r="N12" s="17" t="n">
        <v>0.95</v>
      </c>
      <c r="O12" s="17" t="n">
        <v>0.95</v>
      </c>
      <c r="P12" s="17" t="n">
        <v>0.9</v>
      </c>
      <c r="Q12" s="17" t="n">
        <v>0.85</v>
      </c>
      <c r="R12" s="17" t="n">
        <v>0.8</v>
      </c>
      <c r="S12" s="17" t="n">
        <v>0.75</v>
      </c>
    </row>
    <row r="13" customFormat="false" ht="15" hidden="false" customHeight="false" outlineLevel="0" collapsed="false">
      <c r="A13" s="10" t="s">
        <v>95</v>
      </c>
      <c r="B13" s="17" t="n">
        <v>0</v>
      </c>
      <c r="C13" s="17" t="n">
        <v>0</v>
      </c>
      <c r="D13" s="17" t="n">
        <v>0</v>
      </c>
      <c r="E13" s="17" t="n">
        <v>0</v>
      </c>
      <c r="F13" s="17" t="n">
        <v>0</v>
      </c>
      <c r="G13" s="17" t="n">
        <v>0</v>
      </c>
      <c r="H13" s="17" t="n">
        <v>0</v>
      </c>
      <c r="I13" s="17" t="n">
        <v>0.1</v>
      </c>
      <c r="J13" s="17" t="n">
        <v>0.2</v>
      </c>
      <c r="K13" s="17" t="n">
        <v>0.3</v>
      </c>
      <c r="L13" s="17" t="n">
        <v>0.3</v>
      </c>
      <c r="M13" s="17" t="n">
        <v>0.4</v>
      </c>
      <c r="N13" s="17" t="n">
        <v>0.5</v>
      </c>
      <c r="O13" s="17" t="n">
        <v>0.6</v>
      </c>
      <c r="P13" s="17" t="n">
        <v>0.65</v>
      </c>
      <c r="Q13" s="17" t="n">
        <v>0.7</v>
      </c>
      <c r="R13" s="17" t="n">
        <v>0.7</v>
      </c>
      <c r="S13" s="17" t="n">
        <v>0.7</v>
      </c>
    </row>
    <row r="14" customFormat="false" ht="15" hidden="false" customHeight="false" outlineLevel="0" collapsed="false">
      <c r="A14" s="20" t="s">
        <v>96</v>
      </c>
      <c r="B14" s="21" t="n">
        <f aca="false">SUM(B11:B13)</f>
        <v>15.5</v>
      </c>
      <c r="C14" s="21" t="n">
        <f aca="false">SUM(C11:C13)</f>
        <v>15.8</v>
      </c>
      <c r="D14" s="21" t="n">
        <f aca="false">SUM(D11:D13)</f>
        <v>16.2</v>
      </c>
      <c r="E14" s="21" t="n">
        <f aca="false">SUM(E11:E13)</f>
        <v>16.6</v>
      </c>
      <c r="F14" s="21" t="n">
        <f aca="false">SUM(F11:F13)</f>
        <v>16.9</v>
      </c>
      <c r="G14" s="21" t="n">
        <f aca="false">SUM(G11:G13)</f>
        <v>17.3</v>
      </c>
      <c r="H14" s="21" t="n">
        <f aca="false">SUM(H11:H13)</f>
        <v>17.6</v>
      </c>
      <c r="I14" s="21" t="n">
        <f aca="false">SUM(I11:I13)</f>
        <v>17.9</v>
      </c>
      <c r="J14" s="21" t="n">
        <f aca="false">SUM(J11:J13)</f>
        <v>18.2</v>
      </c>
      <c r="K14" s="21" t="n">
        <f aca="false">SUM(K11:K13)</f>
        <v>18.5</v>
      </c>
      <c r="L14" s="21" t="n">
        <f aca="false">SUM(L11:L13)</f>
        <v>18.6</v>
      </c>
      <c r="M14" s="21" t="n">
        <f aca="false">SUM(M11:M13)</f>
        <v>18.7</v>
      </c>
      <c r="N14" s="21" t="n">
        <f aca="false">SUM(N11:N13)</f>
        <v>18.75</v>
      </c>
      <c r="O14" s="21" t="n">
        <f aca="false">SUM(O11:O13)</f>
        <v>18.75</v>
      </c>
      <c r="P14" s="21" t="n">
        <f aca="false">SUM(P11:P13)</f>
        <v>18.65</v>
      </c>
      <c r="Q14" s="21" t="n">
        <f aca="false">SUM(Q11:Q13)</f>
        <v>18.55</v>
      </c>
      <c r="R14" s="21" t="n">
        <f aca="false">SUM(R11:R13)</f>
        <v>18.4</v>
      </c>
      <c r="S14" s="21" t="n">
        <f aca="false">SUM(S11:S13)</f>
        <v>18.25</v>
      </c>
    </row>
    <row r="15" customFormat="false" ht="15" hidden="false" customHeight="false" outlineLevel="0" collapsed="false">
      <c r="A15" s="22" t="s">
        <v>97</v>
      </c>
      <c r="B15" s="23" t="n">
        <f aca="false">B14-B8</f>
        <v>0.530000000000001</v>
      </c>
      <c r="C15" s="23" t="n">
        <f aca="false">C14-C8</f>
        <v>0.310000000000001</v>
      </c>
      <c r="D15" s="23" t="n">
        <f aca="false">D14-D8</f>
        <v>0.280000000000003</v>
      </c>
      <c r="E15" s="23" t="n">
        <f aca="false">E14-E8</f>
        <v>0.0499999999999972</v>
      </c>
      <c r="F15" s="23" t="n">
        <f aca="false">F14-F8</f>
        <v>-0.379999999999999</v>
      </c>
      <c r="G15" s="23" t="n">
        <f aca="false">G14-G8</f>
        <v>-0.73</v>
      </c>
      <c r="H15" s="23" t="n">
        <f aca="false">H14-H8</f>
        <v>-1.3</v>
      </c>
      <c r="I15" s="23" t="n">
        <f aca="false">I14-I8</f>
        <v>-2.1</v>
      </c>
      <c r="J15" s="23" t="n">
        <f aca="false">J14-J8</f>
        <v>-2.98</v>
      </c>
      <c r="K15" s="23" t="n">
        <f aca="false">K14-K8</f>
        <v>-3.77</v>
      </c>
      <c r="L15" s="23" t="n">
        <f aca="false">L14-L8</f>
        <v>-4.9</v>
      </c>
      <c r="M15" s="23" t="n">
        <f aca="false">M14-M8</f>
        <v>-6.1</v>
      </c>
      <c r="N15" s="23" t="n">
        <f aca="false">N14-N8</f>
        <v>-7.55</v>
      </c>
      <c r="O15" s="23" t="n">
        <f aca="false">O14-O8</f>
        <v>-8.9</v>
      </c>
      <c r="P15" s="23" t="n">
        <f aca="false">P14-P8</f>
        <v>-10.38</v>
      </c>
      <c r="Q15" s="23" t="n">
        <f aca="false">Q14-Q8</f>
        <v>-11.8</v>
      </c>
      <c r="R15" s="23" t="n">
        <f aca="false">R14-R8</f>
        <v>-13.4</v>
      </c>
      <c r="S15" s="23" t="n">
        <f aca="false">S14-S8</f>
        <v>-14.9</v>
      </c>
    </row>
    <row r="17" customFormat="false" ht="15" hidden="false" customHeight="false" outlineLevel="0" collapsed="false">
      <c r="A17" s="24" t="s">
        <v>98</v>
      </c>
    </row>
    <row r="18" customFormat="false" ht="15" hidden="false" customHeight="false" outlineLevel="0" collapsed="false">
      <c r="A18" s="25" t="s">
        <v>99</v>
      </c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</row>
    <row r="19" customFormat="false" ht="15" hidden="false" customHeight="false" outlineLevel="0" collapsed="false">
      <c r="A19" s="25" t="s">
        <v>100</v>
      </c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</row>
    <row r="20" customFormat="false" ht="15" hidden="false" customHeight="false" outlineLevel="0" collapsed="false">
      <c r="A20" s="25" t="s">
        <v>101</v>
      </c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</row>
    <row r="21" customFormat="false" ht="15" hidden="false" customHeight="false" outlineLevel="0" collapsed="false">
      <c r="A21" s="25" t="s">
        <v>102</v>
      </c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</row>
    <row r="22" customFormat="false" ht="15" hidden="false" customHeight="false" outlineLevel="0" collapsed="false">
      <c r="A22" s="25" t="s">
        <v>103</v>
      </c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</row>
  </sheetData>
  <mergeCells count="8">
    <mergeCell ref="A1:S1"/>
    <mergeCell ref="B3:K3"/>
    <mergeCell ref="L3:S3"/>
    <mergeCell ref="A18:S18"/>
    <mergeCell ref="A19:S19"/>
    <mergeCell ref="A20:S20"/>
    <mergeCell ref="A21:S21"/>
    <mergeCell ref="A22:S2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4" min="3" style="0" width="12"/>
    <col collapsed="false" customWidth="true" hidden="false" outlineLevel="0" max="5" min="5" style="0" width="14"/>
    <col collapsed="false" customWidth="true" hidden="false" outlineLevel="0" max="6" min="6" style="0" width="16"/>
    <col collapsed="false" customWidth="true" hidden="false" outlineLevel="0" max="7" min="7" style="0" width="18"/>
  </cols>
  <sheetData>
    <row r="1" customFormat="false" ht="18" hidden="false" customHeight="true" outlineLevel="0" collapsed="false">
      <c r="A1" s="11" t="s">
        <v>104</v>
      </c>
      <c r="B1" s="11"/>
      <c r="C1" s="11"/>
      <c r="D1" s="11"/>
      <c r="E1" s="11"/>
      <c r="F1" s="11"/>
      <c r="G1" s="11"/>
    </row>
    <row r="2" customFormat="false" ht="15" hidden="false" customHeight="false" outlineLevel="0" collapsed="false">
      <c r="A2" s="4" t="s">
        <v>105</v>
      </c>
      <c r="B2" s="4" t="s">
        <v>106</v>
      </c>
      <c r="C2" s="4" t="s">
        <v>107</v>
      </c>
      <c r="D2" s="4" t="s">
        <v>108</v>
      </c>
      <c r="E2" s="4" t="s">
        <v>109</v>
      </c>
      <c r="F2" s="4" t="s">
        <v>110</v>
      </c>
      <c r="G2" s="4" t="s">
        <v>111</v>
      </c>
    </row>
    <row r="3" customFormat="false" ht="15" hidden="false" customHeight="false" outlineLevel="0" collapsed="false">
      <c r="A3" s="3" t="s">
        <v>112</v>
      </c>
    </row>
    <row r="4" customFormat="false" ht="19.5" hidden="false" customHeight="true" outlineLevel="0" collapsed="false">
      <c r="A4" s="9" t="s">
        <v>113</v>
      </c>
      <c r="B4" s="9" t="s">
        <v>114</v>
      </c>
      <c r="C4" s="9" t="s">
        <v>115</v>
      </c>
      <c r="D4" s="9" t="s">
        <v>116</v>
      </c>
      <c r="E4" s="26" t="s">
        <v>117</v>
      </c>
      <c r="F4" s="9" t="s">
        <v>118</v>
      </c>
      <c r="G4" s="9" t="s">
        <v>119</v>
      </c>
    </row>
    <row r="5" customFormat="false" ht="19.5" hidden="false" customHeight="true" outlineLevel="0" collapsed="false">
      <c r="A5" s="9" t="s">
        <v>120</v>
      </c>
      <c r="B5" s="9" t="s">
        <v>121</v>
      </c>
      <c r="C5" s="9" t="s">
        <v>122</v>
      </c>
      <c r="D5" s="9" t="s">
        <v>116</v>
      </c>
      <c r="E5" s="26" t="s">
        <v>117</v>
      </c>
      <c r="F5" s="9" t="s">
        <v>123</v>
      </c>
      <c r="G5" s="9" t="s">
        <v>124</v>
      </c>
    </row>
    <row r="6" customFormat="false" ht="19.5" hidden="false" customHeight="true" outlineLevel="0" collapsed="false">
      <c r="A6" s="9" t="s">
        <v>125</v>
      </c>
      <c r="B6" s="9" t="s">
        <v>126</v>
      </c>
      <c r="C6" s="9" t="s">
        <v>127</v>
      </c>
      <c r="D6" s="9" t="s">
        <v>116</v>
      </c>
      <c r="E6" s="26" t="s">
        <v>128</v>
      </c>
      <c r="F6" s="9" t="s">
        <v>118</v>
      </c>
      <c r="G6" s="9" t="s">
        <v>129</v>
      </c>
    </row>
    <row r="7" customFormat="false" ht="19.5" hidden="false" customHeight="true" outlineLevel="0" collapsed="false">
      <c r="A7" s="9" t="s">
        <v>130</v>
      </c>
      <c r="B7" s="9" t="s">
        <v>131</v>
      </c>
      <c r="C7" s="9" t="s">
        <v>132</v>
      </c>
      <c r="D7" s="9" t="s">
        <v>116</v>
      </c>
      <c r="E7" s="26" t="s">
        <v>133</v>
      </c>
      <c r="F7" s="9" t="s">
        <v>134</v>
      </c>
      <c r="G7" s="9" t="s">
        <v>135</v>
      </c>
    </row>
    <row r="8" customFormat="false" ht="19.5" hidden="false" customHeight="true" outlineLevel="0" collapsed="false">
      <c r="A8" s="9" t="s">
        <v>136</v>
      </c>
      <c r="B8" s="9" t="s">
        <v>137</v>
      </c>
      <c r="C8" s="9" t="s">
        <v>122</v>
      </c>
      <c r="D8" s="9" t="s">
        <v>116</v>
      </c>
      <c r="E8" s="26" t="s">
        <v>138</v>
      </c>
      <c r="F8" s="9" t="s">
        <v>76</v>
      </c>
      <c r="G8" s="9" t="s">
        <v>139</v>
      </c>
    </row>
    <row r="9" customFormat="false" ht="19.5" hidden="false" customHeight="true" outlineLevel="0" collapsed="false">
      <c r="A9" s="9" t="s">
        <v>140</v>
      </c>
      <c r="B9" s="9" t="s">
        <v>141</v>
      </c>
      <c r="C9" s="9" t="s">
        <v>142</v>
      </c>
      <c r="D9" s="9" t="s">
        <v>143</v>
      </c>
      <c r="E9" s="26" t="s">
        <v>144</v>
      </c>
      <c r="F9" s="9" t="s">
        <v>145</v>
      </c>
      <c r="G9" s="9" t="s">
        <v>146</v>
      </c>
    </row>
    <row r="11" customFormat="false" ht="15" hidden="false" customHeight="false" outlineLevel="0" collapsed="false">
      <c r="A11" s="3" t="s">
        <v>147</v>
      </c>
    </row>
    <row r="12" customFormat="false" ht="19.5" hidden="false" customHeight="true" outlineLevel="0" collapsed="false">
      <c r="A12" s="9" t="s">
        <v>148</v>
      </c>
      <c r="B12" s="9" t="s">
        <v>149</v>
      </c>
      <c r="C12" s="9" t="s">
        <v>150</v>
      </c>
      <c r="D12" s="9" t="s">
        <v>151</v>
      </c>
      <c r="E12" s="26" t="s">
        <v>152</v>
      </c>
      <c r="F12" s="9" t="s">
        <v>153</v>
      </c>
      <c r="G12" s="27" t="s">
        <v>154</v>
      </c>
    </row>
    <row r="13" customFormat="false" ht="19.5" hidden="false" customHeight="true" outlineLevel="0" collapsed="false">
      <c r="A13" s="9" t="s">
        <v>155</v>
      </c>
      <c r="B13" s="9" t="s">
        <v>156</v>
      </c>
      <c r="C13" s="9" t="s">
        <v>157</v>
      </c>
      <c r="D13" s="9" t="s">
        <v>151</v>
      </c>
      <c r="E13" s="26" t="s">
        <v>158</v>
      </c>
      <c r="F13" s="9" t="s">
        <v>159</v>
      </c>
      <c r="G13" s="27" t="s">
        <v>160</v>
      </c>
    </row>
    <row r="14" customFormat="false" ht="19.5" hidden="false" customHeight="true" outlineLevel="0" collapsed="false">
      <c r="A14" s="9" t="s">
        <v>161</v>
      </c>
      <c r="B14" s="9" t="s">
        <v>162</v>
      </c>
      <c r="C14" s="9" t="s">
        <v>163</v>
      </c>
      <c r="D14" s="9" t="s">
        <v>151</v>
      </c>
      <c r="E14" s="26" t="s">
        <v>164</v>
      </c>
      <c r="F14" s="9" t="s">
        <v>159</v>
      </c>
      <c r="G14" s="27" t="s">
        <v>165</v>
      </c>
    </row>
    <row r="15" customFormat="false" ht="19.5" hidden="false" customHeight="true" outlineLevel="0" collapsed="false">
      <c r="A15" s="9" t="s">
        <v>166</v>
      </c>
      <c r="B15" s="9" t="s">
        <v>167</v>
      </c>
      <c r="C15" s="9" t="s">
        <v>157</v>
      </c>
      <c r="D15" s="9" t="s">
        <v>151</v>
      </c>
      <c r="E15" s="26" t="s">
        <v>168</v>
      </c>
      <c r="F15" s="9" t="s">
        <v>169</v>
      </c>
      <c r="G15" s="27" t="s">
        <v>170</v>
      </c>
    </row>
    <row r="16" customFormat="false" ht="19.5" hidden="false" customHeight="true" outlineLevel="0" collapsed="false">
      <c r="A16" s="9" t="s">
        <v>171</v>
      </c>
      <c r="B16" s="9" t="s">
        <v>172</v>
      </c>
      <c r="C16" s="9" t="s">
        <v>173</v>
      </c>
      <c r="D16" s="9" t="s">
        <v>151</v>
      </c>
      <c r="E16" s="26" t="s">
        <v>158</v>
      </c>
      <c r="F16" s="9" t="s">
        <v>159</v>
      </c>
      <c r="G16" s="27" t="s">
        <v>174</v>
      </c>
    </row>
    <row r="17" customFormat="false" ht="19.5" hidden="false" customHeight="true" outlineLevel="0" collapsed="false">
      <c r="A17" s="9" t="s">
        <v>175</v>
      </c>
      <c r="B17" s="9" t="s">
        <v>176</v>
      </c>
      <c r="C17" s="9" t="s">
        <v>115</v>
      </c>
      <c r="D17" s="9" t="s">
        <v>151</v>
      </c>
      <c r="E17" s="26" t="s">
        <v>177</v>
      </c>
      <c r="F17" s="9" t="s">
        <v>178</v>
      </c>
      <c r="G17" s="27" t="s">
        <v>179</v>
      </c>
    </row>
    <row r="18" customFormat="false" ht="19.5" hidden="false" customHeight="true" outlineLevel="0" collapsed="false">
      <c r="A18" s="9" t="s">
        <v>180</v>
      </c>
      <c r="B18" s="9" t="s">
        <v>181</v>
      </c>
      <c r="C18" s="9" t="s">
        <v>182</v>
      </c>
      <c r="D18" s="9" t="s">
        <v>151</v>
      </c>
      <c r="E18" s="26" t="s">
        <v>183</v>
      </c>
      <c r="F18" s="9" t="s">
        <v>184</v>
      </c>
      <c r="G18" s="27" t="s">
        <v>185</v>
      </c>
    </row>
    <row r="21" customFormat="false" ht="15" hidden="false" customHeight="false" outlineLevel="0" collapsed="false">
      <c r="A21" s="28" t="s">
        <v>186</v>
      </c>
      <c r="B21" s="28"/>
      <c r="C21" s="28"/>
      <c r="D21" s="28"/>
      <c r="E21" s="28"/>
      <c r="F21" s="28"/>
      <c r="G21" s="28"/>
    </row>
  </sheetData>
  <mergeCells count="2">
    <mergeCell ref="A1:G1"/>
    <mergeCell ref="A21:G2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28"/>
    <col collapsed="false" customWidth="true" hidden="false" outlineLevel="0" max="7" min="2" style="0" width="14"/>
    <col collapsed="false" customWidth="true" hidden="false" outlineLevel="0" max="8" min="8" style="0" width="20"/>
  </cols>
  <sheetData>
    <row r="1" customFormat="false" ht="18" hidden="false" customHeight="true" outlineLevel="0" collapsed="false">
      <c r="A1" s="11" t="s">
        <v>187</v>
      </c>
      <c r="B1" s="11"/>
      <c r="C1" s="11"/>
      <c r="D1" s="11"/>
      <c r="E1" s="11"/>
      <c r="F1" s="11"/>
      <c r="G1" s="11"/>
      <c r="H1" s="11"/>
    </row>
    <row r="2" customFormat="false" ht="30" hidden="false" customHeight="true" outlineLevel="0" collapsed="false">
      <c r="A2" s="12" t="s">
        <v>188</v>
      </c>
      <c r="B2" s="12" t="s">
        <v>189</v>
      </c>
      <c r="C2" s="12" t="s">
        <v>190</v>
      </c>
      <c r="D2" s="12" t="s">
        <v>191</v>
      </c>
      <c r="E2" s="12" t="s">
        <v>192</v>
      </c>
      <c r="F2" s="12" t="s">
        <v>193</v>
      </c>
      <c r="G2" s="12" t="s">
        <v>194</v>
      </c>
      <c r="H2" s="12" t="s">
        <v>195</v>
      </c>
    </row>
    <row r="3" customFormat="false" ht="18" hidden="false" customHeight="true" outlineLevel="0" collapsed="false">
      <c r="A3" s="5" t="s">
        <v>196</v>
      </c>
      <c r="B3" s="29" t="s">
        <v>197</v>
      </c>
      <c r="C3" s="30" t="n">
        <v>6.2</v>
      </c>
      <c r="D3" s="30" t="n">
        <v>8.5</v>
      </c>
      <c r="E3" s="31" t="n">
        <f aca="false">(D3-C3)/D3</f>
        <v>0.270588235294118</v>
      </c>
      <c r="F3" s="32" t="s">
        <v>198</v>
      </c>
      <c r="G3" s="33" t="s">
        <v>199</v>
      </c>
      <c r="H3" s="7" t="s">
        <v>200</v>
      </c>
    </row>
    <row r="4" customFormat="false" ht="18" hidden="false" customHeight="true" outlineLevel="0" collapsed="false">
      <c r="A4" s="5" t="s">
        <v>201</v>
      </c>
      <c r="B4" s="29" t="s">
        <v>202</v>
      </c>
      <c r="C4" s="30" t="n">
        <v>7.8</v>
      </c>
      <c r="D4" s="30" t="n">
        <v>9.8</v>
      </c>
      <c r="E4" s="31" t="n">
        <f aca="false">(D4-C4)/D4</f>
        <v>0.204081632653061</v>
      </c>
      <c r="F4" s="32" t="s">
        <v>203</v>
      </c>
      <c r="G4" s="33" t="s">
        <v>204</v>
      </c>
      <c r="H4" s="7" t="s">
        <v>205</v>
      </c>
    </row>
    <row r="5" customFormat="false" ht="18" hidden="false" customHeight="true" outlineLevel="0" collapsed="false">
      <c r="A5" s="5" t="s">
        <v>206</v>
      </c>
      <c r="B5" s="29" t="s">
        <v>207</v>
      </c>
      <c r="C5" s="30" t="n">
        <v>5.6</v>
      </c>
      <c r="D5" s="30" t="n">
        <v>7.2</v>
      </c>
      <c r="E5" s="31" t="n">
        <f aca="false">(D5-C5)/D5</f>
        <v>0.222222222222222</v>
      </c>
      <c r="F5" s="32" t="s">
        <v>208</v>
      </c>
      <c r="G5" s="33" t="s">
        <v>209</v>
      </c>
      <c r="H5" s="7" t="s">
        <v>210</v>
      </c>
    </row>
    <row r="6" customFormat="false" ht="18" hidden="false" customHeight="true" outlineLevel="0" collapsed="false">
      <c r="A6" s="5" t="s">
        <v>211</v>
      </c>
      <c r="B6" s="29" t="s">
        <v>212</v>
      </c>
      <c r="C6" s="30" t="n">
        <v>6.9</v>
      </c>
      <c r="D6" s="30" t="n">
        <v>8.6</v>
      </c>
      <c r="E6" s="31" t="n">
        <f aca="false">(D6-C6)/D6</f>
        <v>0.197674418604651</v>
      </c>
      <c r="F6" s="32" t="s">
        <v>213</v>
      </c>
      <c r="G6" s="33" t="s">
        <v>115</v>
      </c>
      <c r="H6" s="7" t="s">
        <v>214</v>
      </c>
    </row>
    <row r="7" customFormat="false" ht="18" hidden="false" customHeight="true" outlineLevel="0" collapsed="false">
      <c r="A7" s="5" t="s">
        <v>215</v>
      </c>
      <c r="B7" s="29" t="s">
        <v>216</v>
      </c>
      <c r="C7" s="30" t="n">
        <v>5.9</v>
      </c>
      <c r="D7" s="30" t="n">
        <v>8</v>
      </c>
      <c r="E7" s="31" t="n">
        <f aca="false">(D7-C7)/D7</f>
        <v>0.2625</v>
      </c>
      <c r="F7" s="32" t="s">
        <v>217</v>
      </c>
      <c r="G7" s="33" t="s">
        <v>218</v>
      </c>
      <c r="H7" s="7" t="s">
        <v>219</v>
      </c>
    </row>
    <row r="9" customFormat="false" ht="18" hidden="false" customHeight="true" outlineLevel="0" collapsed="false">
      <c r="A9" s="34" t="s">
        <v>220</v>
      </c>
      <c r="C9" s="35" t="n">
        <f aca="false">MEDIAN(C3:C7)</f>
        <v>6.2</v>
      </c>
      <c r="D9" s="35" t="n">
        <f aca="false">MEDIAN(D3:D7)</f>
        <v>8.5</v>
      </c>
      <c r="E9" s="36" t="n">
        <f aca="false">(D9-C9)/D9</f>
        <v>0.270588235294118</v>
      </c>
    </row>
    <row r="11" customFormat="false" ht="15" hidden="false" customHeight="false" outlineLevel="0" collapsed="false">
      <c r="A11" s="3" t="s">
        <v>221</v>
      </c>
    </row>
    <row r="12" customFormat="false" ht="15" hidden="false" customHeight="false" outlineLevel="0" collapsed="false">
      <c r="A12" s="12" t="s">
        <v>222</v>
      </c>
      <c r="B12" s="12" t="s">
        <v>223</v>
      </c>
      <c r="C12" s="12" t="s">
        <v>224</v>
      </c>
      <c r="D12" s="12" t="s">
        <v>225</v>
      </c>
      <c r="E12" s="12" t="s">
        <v>226</v>
      </c>
      <c r="F12" s="12" t="s">
        <v>227</v>
      </c>
    </row>
    <row r="13" customFormat="false" ht="15" hidden="false" customHeight="false" outlineLevel="0" collapsed="false">
      <c r="A13" s="8" t="s">
        <v>228</v>
      </c>
      <c r="B13" s="17" t="n">
        <v>0.87</v>
      </c>
      <c r="C13" s="17" t="n">
        <v>1</v>
      </c>
      <c r="D13" s="17" t="n">
        <v>1.18</v>
      </c>
      <c r="E13" s="17" t="n">
        <v>1.35</v>
      </c>
      <c r="F13" s="17" t="n">
        <v>1.53</v>
      </c>
    </row>
    <row r="15" customFormat="false" ht="15" hidden="false" customHeight="false" outlineLevel="0" collapsed="false">
      <c r="A15" s="25" t="s">
        <v>229</v>
      </c>
      <c r="B15" s="25"/>
      <c r="C15" s="25"/>
      <c r="D15" s="25"/>
      <c r="E15" s="25"/>
      <c r="F15" s="25"/>
      <c r="G15" s="25"/>
      <c r="H15" s="25"/>
    </row>
  </sheetData>
  <mergeCells count="2">
    <mergeCell ref="A1:H1"/>
    <mergeCell ref="A15:H1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8"/>
    <col collapsed="false" customWidth="true" hidden="false" outlineLevel="0" max="3" min="3" style="0" width="16"/>
    <col collapsed="false" customWidth="true" hidden="false" outlineLevel="0" max="4" min="4" style="0" width="18"/>
    <col collapsed="false" customWidth="true" hidden="false" outlineLevel="0" max="5" min="5" style="0" width="20"/>
    <col collapsed="false" customWidth="true" hidden="false" outlineLevel="0" max="6" min="6" style="0" width="16"/>
  </cols>
  <sheetData>
    <row r="1" customFormat="false" ht="18" hidden="false" customHeight="true" outlineLevel="0" collapsed="false">
      <c r="A1" s="11" t="s">
        <v>230</v>
      </c>
      <c r="B1" s="11"/>
      <c r="C1" s="11"/>
      <c r="D1" s="11"/>
      <c r="E1" s="11"/>
      <c r="F1" s="11"/>
    </row>
    <row r="2" customFormat="false" ht="15" hidden="false" customHeight="false" outlineLevel="0" collapsed="false">
      <c r="A2" s="12" t="s">
        <v>66</v>
      </c>
      <c r="B2" s="12" t="s">
        <v>231</v>
      </c>
      <c r="C2" s="12" t="s">
        <v>232</v>
      </c>
      <c r="D2" s="12" t="s">
        <v>233</v>
      </c>
      <c r="E2" s="12" t="s">
        <v>234</v>
      </c>
      <c r="F2" s="12" t="s">
        <v>195</v>
      </c>
    </row>
    <row r="3" customFormat="false" ht="15" hidden="false" customHeight="false" outlineLevel="0" collapsed="false">
      <c r="A3" s="37" t="n">
        <v>2010</v>
      </c>
      <c r="B3" s="38" t="n">
        <v>3.42</v>
      </c>
      <c r="C3" s="39" t="n">
        <f aca="false">B3*2204.62</f>
        <v>7539.8004</v>
      </c>
      <c r="D3" s="40" t="n">
        <v>79</v>
      </c>
      <c r="E3" s="41" t="s">
        <v>235</v>
      </c>
      <c r="F3" s="7"/>
    </row>
    <row r="4" customFormat="false" ht="15" hidden="false" customHeight="false" outlineLevel="0" collapsed="false">
      <c r="A4" s="37" t="n">
        <v>2011</v>
      </c>
      <c r="B4" s="38" t="n">
        <v>4</v>
      </c>
      <c r="C4" s="39" t="n">
        <f aca="false">B4*2204.62</f>
        <v>8818.48</v>
      </c>
      <c r="D4" s="40" t="n">
        <v>76.5</v>
      </c>
      <c r="E4" s="31" t="n">
        <f aca="false">(D4-D3)/D3</f>
        <v>-0.0316455696202532</v>
      </c>
      <c r="F4" s="7"/>
    </row>
    <row r="5" customFormat="false" ht="15" hidden="false" customHeight="false" outlineLevel="0" collapsed="false">
      <c r="A5" s="37" t="n">
        <v>2012</v>
      </c>
      <c r="B5" s="38" t="n">
        <v>3.61</v>
      </c>
      <c r="C5" s="39" t="n">
        <f aca="false">B5*2204.62</f>
        <v>7958.6782</v>
      </c>
      <c r="D5" s="40" t="n">
        <v>79.8</v>
      </c>
      <c r="E5" s="31" t="n">
        <f aca="false">(D5-D4)/D4</f>
        <v>0.0431372549019608</v>
      </c>
      <c r="F5" s="7"/>
    </row>
    <row r="6" customFormat="false" ht="15" hidden="false" customHeight="false" outlineLevel="0" collapsed="false">
      <c r="A6" s="37" t="n">
        <v>2013</v>
      </c>
      <c r="B6" s="38" t="n">
        <v>3.32</v>
      </c>
      <c r="C6" s="39" t="n">
        <f aca="false">B6*2204.62</f>
        <v>7319.3384</v>
      </c>
      <c r="D6" s="40" t="n">
        <v>80.6</v>
      </c>
      <c r="E6" s="31" t="n">
        <f aca="false">(D6-D5)/D5</f>
        <v>0.0100250626566416</v>
      </c>
      <c r="F6" s="7"/>
    </row>
    <row r="7" customFormat="false" ht="15" hidden="false" customHeight="false" outlineLevel="0" collapsed="false">
      <c r="A7" s="37" t="n">
        <v>2014</v>
      </c>
      <c r="B7" s="38" t="n">
        <v>3.11</v>
      </c>
      <c r="C7" s="39" t="n">
        <f aca="false">B7*2204.62</f>
        <v>6856.3682</v>
      </c>
      <c r="D7" s="40" t="n">
        <v>87.5</v>
      </c>
      <c r="E7" s="31" t="n">
        <f aca="false">(D7-D6)/D6</f>
        <v>0.0856079404466502</v>
      </c>
      <c r="F7" s="7" t="s">
        <v>236</v>
      </c>
    </row>
    <row r="8" customFormat="false" ht="15" hidden="false" customHeight="false" outlineLevel="0" collapsed="false">
      <c r="A8" s="37" t="n">
        <v>2015</v>
      </c>
      <c r="B8" s="38" t="n">
        <v>2.5</v>
      </c>
      <c r="C8" s="39" t="n">
        <f aca="false">B8*2204.62</f>
        <v>5511.55</v>
      </c>
      <c r="D8" s="40" t="n">
        <v>98.2</v>
      </c>
      <c r="E8" s="31" t="n">
        <f aca="false">(D8-D7)/D7</f>
        <v>0.122285714285714</v>
      </c>
      <c r="F8" s="7" t="s">
        <v>237</v>
      </c>
    </row>
    <row r="9" customFormat="false" ht="15" hidden="false" customHeight="false" outlineLevel="0" collapsed="false">
      <c r="A9" s="37" t="n">
        <v>2016</v>
      </c>
      <c r="B9" s="38" t="n">
        <v>2.2</v>
      </c>
      <c r="C9" s="39" t="n">
        <f aca="false">B9*2204.62</f>
        <v>4850.164</v>
      </c>
      <c r="D9" s="40" t="n">
        <v>102.8</v>
      </c>
      <c r="E9" s="31" t="n">
        <f aca="false">(D9-D8)/D8</f>
        <v>0.0468431771894093</v>
      </c>
      <c r="F9" s="7" t="s">
        <v>238</v>
      </c>
    </row>
    <row r="10" customFormat="false" ht="15" hidden="false" customHeight="false" outlineLevel="0" collapsed="false">
      <c r="A10" s="37" t="n">
        <v>2017</v>
      </c>
      <c r="B10" s="38" t="n">
        <v>2.8</v>
      </c>
      <c r="C10" s="39" t="n">
        <f aca="false">B10*2204.62</f>
        <v>6172.936</v>
      </c>
      <c r="D10" s="40" t="n">
        <v>93</v>
      </c>
      <c r="E10" s="31" t="n">
        <f aca="false">(D10-D9)/D9</f>
        <v>-0.0953307392996109</v>
      </c>
      <c r="F10" s="7" t="s">
        <v>239</v>
      </c>
    </row>
    <row r="11" customFormat="false" ht="15" hidden="false" customHeight="false" outlineLevel="0" collapsed="false">
      <c r="A11" s="37" t="n">
        <v>2018</v>
      </c>
      <c r="B11" s="38" t="n">
        <v>2.96</v>
      </c>
      <c r="C11" s="39" t="n">
        <f aca="false">B11*2204.62</f>
        <v>6525.6752</v>
      </c>
      <c r="D11" s="40" t="n">
        <v>96</v>
      </c>
      <c r="E11" s="31" t="n">
        <f aca="false">(D11-D10)/D10</f>
        <v>0.032258064516129</v>
      </c>
      <c r="F11" s="7" t="s">
        <v>240</v>
      </c>
    </row>
    <row r="12" customFormat="false" ht="15" hidden="false" customHeight="false" outlineLevel="0" collapsed="false">
      <c r="A12" s="37" t="n">
        <v>2019</v>
      </c>
      <c r="B12" s="38" t="n">
        <v>2.72</v>
      </c>
      <c r="C12" s="39" t="n">
        <f aca="false">B12*2204.62</f>
        <v>5996.5664</v>
      </c>
      <c r="D12" s="40" t="n">
        <v>97</v>
      </c>
      <c r="E12" s="31" t="n">
        <f aca="false">(D12-D11)/D11</f>
        <v>0.0104166666666667</v>
      </c>
      <c r="F12" s="7"/>
    </row>
    <row r="13" customFormat="false" ht="15" hidden="false" customHeight="false" outlineLevel="0" collapsed="false">
      <c r="A13" s="37" t="n">
        <v>2020</v>
      </c>
      <c r="B13" s="38" t="n">
        <v>2.8</v>
      </c>
      <c r="C13" s="39" t="n">
        <f aca="false">B13*2204.62</f>
        <v>6172.936</v>
      </c>
      <c r="D13" s="40" t="n">
        <v>92</v>
      </c>
      <c r="E13" s="31" t="n">
        <f aca="false">(D13-D12)/D12</f>
        <v>-0.0515463917525773</v>
      </c>
      <c r="F13" s="7" t="s">
        <v>241</v>
      </c>
    </row>
    <row r="14" customFormat="false" ht="15" hidden="false" customHeight="false" outlineLevel="0" collapsed="false">
      <c r="A14" s="37" t="n">
        <v>2021</v>
      </c>
      <c r="B14" s="38" t="n">
        <v>4.26</v>
      </c>
      <c r="C14" s="39" t="n">
        <f aca="false">B14*2204.62</f>
        <v>9391.6812</v>
      </c>
      <c r="D14" s="40" t="n">
        <v>95.5</v>
      </c>
      <c r="E14" s="31" t="n">
        <f aca="false">(D14-D13)/D13</f>
        <v>0.0380434782608696</v>
      </c>
      <c r="F14" s="7" t="s">
        <v>242</v>
      </c>
    </row>
    <row r="15" customFormat="false" ht="15" hidden="false" customHeight="false" outlineLevel="0" collapsed="false">
      <c r="A15" s="37" t="n">
        <v>2022</v>
      </c>
      <c r="B15" s="38" t="n">
        <v>3.7</v>
      </c>
      <c r="C15" s="39" t="n">
        <f aca="false">B15*2204.62</f>
        <v>8157.094</v>
      </c>
      <c r="D15" s="40" t="n">
        <v>104</v>
      </c>
      <c r="E15" s="31" t="n">
        <f aca="false">(D15-D14)/D14</f>
        <v>0.0890052356020942</v>
      </c>
      <c r="F15" s="7" t="s">
        <v>243</v>
      </c>
    </row>
    <row r="16" customFormat="false" ht="15" hidden="false" customHeight="false" outlineLevel="0" collapsed="false">
      <c r="A16" s="37" t="n">
        <v>2023</v>
      </c>
      <c r="B16" s="38" t="n">
        <v>3.85</v>
      </c>
      <c r="C16" s="39" t="n">
        <f aca="false">B16*2204.62</f>
        <v>8487.787</v>
      </c>
      <c r="D16" s="40" t="n">
        <v>102</v>
      </c>
      <c r="E16" s="31" t="n">
        <f aca="false">(D16-D15)/D15</f>
        <v>-0.0192307692307692</v>
      </c>
      <c r="F16" s="7" t="s">
        <v>244</v>
      </c>
    </row>
    <row r="17" customFormat="false" ht="15" hidden="false" customHeight="false" outlineLevel="0" collapsed="false">
      <c r="A17" s="37" t="n">
        <v>2024</v>
      </c>
      <c r="B17" s="38" t="n">
        <v>4.35</v>
      </c>
      <c r="C17" s="39" t="n">
        <f aca="false">B17*2204.62</f>
        <v>9590.097</v>
      </c>
      <c r="D17" s="40" t="n">
        <v>104.5</v>
      </c>
      <c r="E17" s="31" t="n">
        <f aca="false">(D17-D16)/D16</f>
        <v>0.0245098039215686</v>
      </c>
      <c r="F17" s="7" t="s">
        <v>245</v>
      </c>
    </row>
    <row r="18" customFormat="false" ht="15" hidden="false" customHeight="false" outlineLevel="0" collapsed="false">
      <c r="A18" s="42" t="n">
        <v>2025</v>
      </c>
      <c r="B18" s="43" t="n">
        <v>4.5</v>
      </c>
      <c r="C18" s="44" t="n">
        <f aca="false">B18*2204.62</f>
        <v>9920.79</v>
      </c>
      <c r="D18" s="45" t="n">
        <v>100</v>
      </c>
      <c r="E18" s="46" t="n">
        <f aca="false">(D18-D17)/D17</f>
        <v>-0.0430622009569378</v>
      </c>
      <c r="F18" s="47" t="s">
        <v>246</v>
      </c>
    </row>
    <row r="19" customFormat="false" ht="15" hidden="false" customHeight="false" outlineLevel="0" collapsed="false">
      <c r="A19" s="42" t="n">
        <v>2026</v>
      </c>
      <c r="B19" s="43" t="n">
        <v>4.7</v>
      </c>
      <c r="C19" s="44" t="n">
        <f aca="false">B19*2204.62</f>
        <v>10361.714</v>
      </c>
      <c r="D19" s="45" t="n">
        <v>99</v>
      </c>
      <c r="E19" s="46" t="n">
        <f aca="false">(D19-D18)/D18</f>
        <v>-0.01</v>
      </c>
      <c r="F19" s="47" t="s">
        <v>247</v>
      </c>
    </row>
    <row r="21" customFormat="false" ht="15" hidden="false" customHeight="false" outlineLevel="0" collapsed="false">
      <c r="A21" s="48" t="s">
        <v>248</v>
      </c>
      <c r="B21" s="49" t="s">
        <v>30</v>
      </c>
      <c r="C21" s="50" t="s">
        <v>249</v>
      </c>
    </row>
    <row r="22" customFormat="false" ht="15" hidden="false" customHeight="false" outlineLevel="0" collapsed="false">
      <c r="A22" s="51" t="s">
        <v>250</v>
      </c>
      <c r="B22" s="51"/>
      <c r="C22" s="51"/>
      <c r="D22" s="51"/>
      <c r="E22" s="51"/>
      <c r="F22" s="51"/>
    </row>
  </sheetData>
  <mergeCells count="2">
    <mergeCell ref="A1:F1"/>
    <mergeCell ref="A22:F2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LibreOffice/25.2.6.2$Linux_AARCH64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2026-04-01T12:44:25Z</dcterms:created>
  <dc:creator>openpyxl</dc:creator>
  <dc:description/>
  <dc:language>en-US</dc:language>
  <cp:lastModifiedBy/>
  <dcterms:modified xsi:type="dcterms:W3CDTF">2026-04-01T12:44:25Z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