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XY_MSCI_EM" sheetId="2" state="visible" r:id="rId2"/>
    <sheet xmlns:r="http://schemas.openxmlformats.org/officeDocument/2006/relationships" name="EM_DM_Discount" sheetId="3" state="visible" r:id="rId3"/>
    <sheet xmlns:r="http://schemas.openxmlformats.org/officeDocument/2006/relationships" name="Country_Valuations" sheetId="4" state="visible" r:id="rId4"/>
    <sheet xmlns:r="http://schemas.openxmlformats.org/officeDocument/2006/relationships" name="Capital_Flows" sheetId="5" state="visible" r:id="rId5"/>
    <sheet xmlns:r="http://schemas.openxmlformats.org/officeDocument/2006/relationships" name="OLS_DXY_EM" sheetId="6" state="visible" r:id="rId6"/>
    <sheet xmlns:r="http://schemas.openxmlformats.org/officeDocument/2006/relationships" name="ECB_Fed_Differential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"/>
    <numFmt numFmtId="165" formatCode="0.0\%"/>
    <numFmt numFmtId="166" formatCode="0.0%"/>
    <numFmt numFmtId="167" formatCode="\$#,##0"/>
    <numFmt numFmtId="168" formatCode="0.0\x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FF"/>
      <sz val="9"/>
    </font>
    <font>
      <name val="Arial"/>
      <charset val="1"/>
      <family val="0"/>
      <i val="1"/>
      <color rgb="FF000000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i val="1"/>
      <color rgb="FFC0392B"/>
      <sz val="8"/>
    </font>
    <font>
      <name val="Calibri"/>
      <b val="1"/>
      <color rgb="000D1B2A"/>
      <sz val="13"/>
    </font>
    <font>
      <name val="Calibri"/>
      <b val="1"/>
      <color rgb="001B4F72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FF"/>
      <sz val="10"/>
    </font>
    <font>
      <name val="Calibri"/>
      <i val="1"/>
      <color rgb="00000000"/>
      <sz val="10"/>
    </font>
    <font>
      <name val="Calibri"/>
      <color rgb="00000000"/>
      <sz val="10"/>
    </font>
    <font>
      <name val="Calibri"/>
      <color rgb="00B83232"/>
      <sz val="10"/>
    </font>
    <font>
      <name val="Calibri"/>
      <color rgb="001A7A40"/>
      <sz val="10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FF0D1F3C"/>
        <bgColor rgb="FF1A3A5C"/>
      </patternFill>
    </fill>
    <fill>
      <patternFill patternType="solid">
        <fgColor rgb="FF1A3A5C"/>
        <bgColor rgb="FF0D1F3C"/>
      </patternFill>
    </fill>
    <fill>
      <patternFill patternType="solid">
        <fgColor rgb="FF1E6FA8"/>
        <bgColor rgb="FF008080"/>
      </patternFill>
    </fill>
    <fill>
      <patternFill patternType="solid">
        <fgColor rgb="FFEBF5FB"/>
        <bgColor rgb="FFFFFFFF"/>
      </patternFill>
    </fill>
    <fill>
      <patternFill patternType="solid">
        <fgColor rgb="001B4F72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0D1B2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6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166" fontId="7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center" vertical="center"/>
    </xf>
    <xf numFmtId="168" fontId="11" fillId="5" borderId="1" applyAlignment="1" pivotButton="0" quotePrefix="0" xfId="0">
      <alignment horizontal="center" vertical="center"/>
    </xf>
    <xf numFmtId="167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6" fontId="11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166" fontId="7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center" vertical="center"/>
    </xf>
    <xf numFmtId="168" fontId="11" fillId="5" borderId="1" applyAlignment="1" pivotButton="0" quotePrefix="0" xfId="0">
      <alignment horizontal="center" vertical="center"/>
    </xf>
    <xf numFmtId="167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15" fillId="0" borderId="0" pivotButton="0" quotePrefix="0" xfId="0"/>
    <xf numFmtId="0" fontId="16" fillId="6" borderId="0" applyAlignment="1" pivotButton="0" quotePrefix="0" xfId="0">
      <alignment horizontal="center" vertical="center"/>
    </xf>
    <xf numFmtId="0" fontId="17" fillId="7" borderId="0" pivotButton="0" quotePrefix="0" xfId="0"/>
    <xf numFmtId="0" fontId="18" fillId="7" borderId="0" pivotButton="0" quotePrefix="0" xfId="0"/>
    <xf numFmtId="0" fontId="19" fillId="7" borderId="0" pivotButton="0" quotePrefix="0" xfId="0"/>
    <xf numFmtId="0" fontId="17" fillId="8" borderId="0" pivotButton="0" quotePrefix="0" xfId="0"/>
    <xf numFmtId="0" fontId="18" fillId="8" borderId="0" pivotButton="0" quotePrefix="0" xfId="0"/>
    <xf numFmtId="0" fontId="19" fillId="8" borderId="0" pivotButton="0" quotePrefix="0" xfId="0"/>
    <xf numFmtId="0" fontId="20" fillId="7" borderId="0" pivotButton="0" quotePrefix="0" xfId="0"/>
    <xf numFmtId="0" fontId="20" fillId="8" borderId="0" pivotButton="0" quotePrefix="0" xfId="0"/>
    <xf numFmtId="0" fontId="21" fillId="7" borderId="0" pivotButton="0" quotePrefix="0" xfId="0"/>
    <xf numFmtId="0" fontId="18" fillId="7" borderId="0" applyAlignment="1" pivotButton="0" quotePrefix="0" xfId="0">
      <alignment vertical="top" wrapText="1"/>
    </xf>
    <xf numFmtId="0" fontId="22" fillId="8" borderId="0" pivotButton="0" quotePrefix="0" xfId="0"/>
    <xf numFmtId="0" fontId="18" fillId="8" borderId="0" applyAlignment="1" pivotButton="0" quotePrefix="0" xfId="0">
      <alignment vertical="top" wrapText="1"/>
    </xf>
    <xf numFmtId="0" fontId="22" fillId="7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16" fillId="9" borderId="0" applyAlignment="1" pivotButton="0" quotePrefix="0" xfId="0">
      <alignment horizontal="center" vertical="center"/>
    </xf>
    <xf numFmtId="0" fontId="20" fillId="7" borderId="0" applyAlignment="1" pivotButton="0" quotePrefix="0" xfId="0">
      <alignment vertical="top" wrapText="1"/>
    </xf>
    <xf numFmtId="0" fontId="20" fillId="8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5FB"/>
      <rgbColor rgb="FF660066"/>
      <rgbColor rgb="FFFF8080"/>
      <rgbColor rgb="FF1E6FA8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339966"/>
      <rgbColor rgb="FF003300"/>
      <rgbColor rgb="FF333300"/>
      <rgbColor rgb="FFC0392B"/>
      <rgbColor rgb="FF993366"/>
      <rgbColor rgb="FF333399"/>
      <rgbColor rgb="FF0D1F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41" min="1" max="1"/>
    <col width="22" customWidth="1" style="41" min="2" max="2"/>
    <col width="20" customWidth="1" style="41" min="3" max="3"/>
    <col width="22" customWidth="1" style="41" min="4" max="4"/>
  </cols>
  <sheetData>
    <row r="1" ht="21.75" customHeight="1" s="42">
      <c r="A1" s="43" t="inlineStr">
        <is>
          <t>EMERGING MARKETS: 20-YEAR VALUATION EXTREME, TURNING DOLLAR, POSITIONING RESET — APRIL 2026</t>
        </is>
      </c>
    </row>
    <row r="2" ht="15" customHeight="1" s="42">
      <c r="A2" s="44" t="inlineStr">
        <is>
          <t>Memo 04  |  Asset Class: EM Equities / Global Allocation  |  Signal: LONG EM vs DM (12-24 month)</t>
        </is>
      </c>
    </row>
    <row r="4" ht="15" customHeight="1" s="42">
      <c r="A4" s="45" t="inlineStr">
        <is>
          <t>Key Metrics</t>
        </is>
      </c>
    </row>
    <row r="5" ht="15" customHeight="1" s="42">
      <c r="A5" s="46" t="inlineStr">
        <is>
          <t>Metric</t>
        </is>
      </c>
      <c r="B5" s="46" t="inlineStr">
        <is>
          <t>Value</t>
        </is>
      </c>
      <c r="C5" s="46" t="inlineStr">
        <is>
          <t>Context</t>
        </is>
      </c>
      <c r="D5" s="46" t="inlineStr">
        <is>
          <t>Source</t>
        </is>
      </c>
    </row>
    <row r="6" ht="15" customHeight="1" s="42">
      <c r="A6" s="47" t="inlineStr">
        <is>
          <t>MSCI EM fwd P/E (NTM)</t>
        </is>
      </c>
      <c r="B6" s="48" t="inlineStr">
        <is>
          <t>12.5x</t>
        </is>
      </c>
      <c r="C6" s="49" t="inlineStr">
        <is>
          <t>vs 20yr avg ~14.5x</t>
        </is>
      </c>
      <c r="D6" s="49" t="inlineStr">
        <is>
          <t>Bloomberg/FactSet Apr 2026</t>
        </is>
      </c>
    </row>
    <row r="7" ht="15" customHeight="1" s="42">
      <c r="A7" s="47" t="inlineStr">
        <is>
          <t>MSCI World fwd P/E</t>
        </is>
      </c>
      <c r="B7" s="48" t="inlineStr">
        <is>
          <t>20.0x</t>
        </is>
      </c>
      <c r="C7" s="49" t="inlineStr">
        <is>
          <t>S&amp;P 500 ~21x</t>
        </is>
      </c>
      <c r="D7" s="49" t="inlineStr">
        <is>
          <t>Bloomberg/FactSet Apr 2026</t>
        </is>
      </c>
    </row>
    <row r="8" ht="15" customHeight="1" s="42">
      <c r="A8" s="47" t="inlineStr">
        <is>
          <t>EM discount to DM</t>
        </is>
      </c>
      <c r="B8" s="48" t="inlineStr">
        <is>
          <t>~37%</t>
        </is>
      </c>
      <c r="C8" s="49" t="inlineStr">
        <is>
          <t>20yr avg: ~22% discount</t>
        </is>
      </c>
      <c r="D8" s="49" t="inlineStr">
        <is>
          <t>Bloomberg/FactSet</t>
        </is>
      </c>
    </row>
    <row r="9" ht="15" customHeight="1" s="42">
      <c r="A9" s="47" t="inlineStr">
        <is>
          <t>P/E re-rating upside</t>
        </is>
      </c>
      <c r="B9" s="48" t="inlineStr">
        <is>
          <t>~29%</t>
        </is>
      </c>
      <c r="C9" s="49" t="inlineStr">
        <is>
          <t>If discount reverts to 20yr avg</t>
        </is>
      </c>
      <c r="D9" s="49" t="inlineStr">
        <is>
          <t>Author calculation</t>
        </is>
      </c>
    </row>
    <row r="10" ht="15" customHeight="1" s="42">
      <c r="A10" s="47" t="inlineStr">
        <is>
          <t>DXY (Apr 2026)</t>
        </is>
      </c>
      <c r="B10" s="48" t="inlineStr">
        <is>
          <t>~100</t>
        </is>
      </c>
      <c r="C10" s="49" t="inlineStr">
        <is>
          <t>Below 102 — multi-year support broken</t>
        </is>
      </c>
      <c r="D10" s="49" t="inlineStr">
        <is>
          <t>Bloomberg</t>
        </is>
      </c>
    </row>
    <row r="11" ht="15" customHeight="1" s="42">
      <c r="A11" s="47" t="inlineStr">
        <is>
          <t>DXY 2022 peak</t>
        </is>
      </c>
      <c r="B11" s="48" t="inlineStr">
        <is>
          <t>114</t>
        </is>
      </c>
      <c r="C11" s="49" t="inlineStr">
        <is>
          <t>High since 2001</t>
        </is>
      </c>
      <c r="D11" s="49" t="inlineStr">
        <is>
          <t>Bloomberg</t>
        </is>
      </c>
    </row>
    <row r="12" ht="15" customHeight="1" s="42">
      <c r="A12" s="47" t="inlineStr">
        <is>
          <t>Avg EM outperf post DXY peak</t>
        </is>
      </c>
      <c r="B12" s="48" t="inlineStr">
        <is>
          <t>~21%</t>
        </is>
      </c>
      <c r="C12" s="49" t="inlineStr">
        <is>
          <t>2002 and 2016 cycles, 12m USD return</t>
        </is>
      </c>
      <c r="D12" s="49" t="inlineStr">
        <is>
          <t>Bloomberg, MSCI</t>
        </is>
      </c>
    </row>
    <row r="13" ht="15" customHeight="1" s="42">
      <c r="A13" s="47" t="inlineStr">
        <is>
          <t>OLS r-squared (DXY vs EM)</t>
        </is>
      </c>
      <c r="B13" s="48" t="inlineStr">
        <is>
          <t>0.42</t>
        </is>
      </c>
      <c r="C13" s="49" t="inlineStr">
        <is>
          <t>2007-2025 annual data</t>
        </is>
      </c>
      <c r="D13" s="49" t="inlineStr">
        <is>
          <t>Author regression</t>
        </is>
      </c>
    </row>
    <row r="14" ht="15" customHeight="1" s="42">
      <c r="A14" s="47" t="inlineStr">
        <is>
          <t>EM net flows 2023-24</t>
        </is>
      </c>
      <c r="B14" s="48" t="inlineStr">
        <is>
          <t>~$28bn in</t>
        </is>
      </c>
      <c r="C14" s="49" t="inlineStr">
        <is>
          <t>vs ~$450bn into US equity</t>
        </is>
      </c>
      <c r="D14" s="49" t="inlineStr">
        <is>
          <t>EPFR Global, BofA</t>
        </is>
      </c>
    </row>
    <row r="15" ht="15" customHeight="1" s="42">
      <c r="A15" s="47" t="inlineStr">
        <is>
          <t>China MSCI EM weight</t>
        </is>
      </c>
      <c r="B15" s="48" t="inlineStr">
        <is>
          <t>~27%</t>
        </is>
      </c>
      <c r="C15" s="49" t="inlineStr">
        <is>
          <t>Taiwan 17%, India 18%, Korea 13%</t>
        </is>
      </c>
      <c r="D15" s="49" t="inlineStr">
        <is>
          <t>MSCI</t>
        </is>
      </c>
    </row>
    <row r="16" ht="15" customHeight="1" s="42">
      <c r="A16" s="47" t="inlineStr">
        <is>
          <t>EM GDP growth 2026E</t>
        </is>
      </c>
      <c r="B16" s="48" t="inlineStr">
        <is>
          <t>4.2%</t>
        </is>
      </c>
      <c r="C16" s="49" t="inlineStr">
        <is>
          <t>vs 1.8% advanced economies</t>
        </is>
      </c>
      <c r="D16" s="49" t="inlineStr">
        <is>
          <t>IMF WEO Apr 2026</t>
        </is>
      </c>
    </row>
    <row r="17" ht="15" customHeight="1" s="42">
      <c r="A17" s="47" t="inlineStr">
        <is>
          <t>EM USD debt maturing 2026-27</t>
        </is>
      </c>
      <c r="B17" s="48" t="inlineStr">
        <is>
          <t>~$280bn</t>
        </is>
      </c>
      <c r="C17" s="49" t="inlineStr">
        <is>
          <t>Refinancing risk/opportunity</t>
        </is>
      </c>
      <c r="D17" s="49" t="inlineStr">
        <is>
          <t>JPMorgan EM Research</t>
        </is>
      </c>
    </row>
    <row r="19" ht="15" customHeight="1" s="42">
      <c r="A19" s="45" t="inlineStr">
        <is>
          <t>Investment Thesis</t>
        </is>
      </c>
    </row>
    <row r="20" ht="15" customHeight="1" s="42">
      <c r="A20" s="46" t="inlineStr">
        <is>
          <t>Pillar</t>
        </is>
      </c>
      <c r="B20" s="46" t="inlineStr">
        <is>
          <t>Summary</t>
        </is>
      </c>
    </row>
    <row r="21" ht="30" customHeight="1" s="42">
      <c r="A21" s="50" t="inlineStr">
        <is>
          <t>1. DXY is the primary return driver</t>
        </is>
      </c>
      <c r="B21" s="51" t="inlineStr">
        <is>
          <t>OLS r²=0.42 (DXY vs MSCI EM, 2007-2025). 10% DXY decline = 20-25% EM USD return. Three channels: EM debt service relief, commodity price lift, capital flow rotation.</t>
        </is>
      </c>
    </row>
    <row r="22" ht="30" customHeight="1" s="42">
      <c r="A22" s="50" t="inlineStr">
        <is>
          <t>2. 20yr valuation extreme</t>
        </is>
      </c>
      <c r="B22" s="51" t="inlineStr">
        <is>
          <t>37% discount vs 20yr avg of 22%. Only wider at 2008-09 and 2002-03 credit events. Both preceded multi-year EM outperformance. Reversion to avg = ~29% P/E upside alone.</t>
        </is>
      </c>
    </row>
    <row r="23" ht="30" customHeight="1" s="42">
      <c r="A23" s="50" t="inlineStr">
        <is>
          <t>3. Positioning at multi-decade lows</t>
        </is>
      </c>
      <c r="B23" s="51" t="inlineStr">
        <is>
          <t>$450bn into US equity ETFs 2023-24 vs $28bn EM (EPFR). BofA FMS: record EM underweight. Rebalancing to neutral = mechanical flow support independent of fundamentals.</t>
        </is>
      </c>
    </row>
    <row r="24" ht="30" customHeight="1" s="42">
      <c r="A24" s="50" t="inlineStr">
        <is>
          <t>4. China stimulus most comprehensive since 2016</t>
        </is>
      </c>
      <c r="B24" s="51" t="inlineStr">
        <is>
          <t>50bp RRR cut, property support, fiscal deficit 3.8% GDP. PMI above 50 for 3 months. China 30% of EM index. PMI 51+ for 2 months = 8-12% EM return historically.</t>
        </is>
      </c>
    </row>
    <row r="26" ht="15" customHeight="1" s="42">
      <c r="A26" s="45" t="inlineStr">
        <is>
          <t>Watch / Exit</t>
        </is>
      </c>
    </row>
    <row r="27" ht="15" customHeight="1" s="42">
      <c r="A27" s="46" t="inlineStr">
        <is>
          <t>Type</t>
        </is>
      </c>
      <c r="B27" s="46" t="inlineStr">
        <is>
          <t>Condition</t>
        </is>
      </c>
    </row>
    <row r="28" ht="18" customHeight="1" s="42">
      <c r="A28" s="50" t="inlineStr">
        <is>
          <t>Watch (add)</t>
        </is>
      </c>
      <c r="B28" s="52" t="inlineStr">
        <is>
          <t>DXY break below 97 / China PMI 51+ for 2 months / EM EPS revision ratio turns positive</t>
        </is>
      </c>
    </row>
    <row r="29" ht="18" customHeight="1" s="42">
      <c r="A29" s="50" t="inlineStr">
        <is>
          <t>Exit</t>
        </is>
      </c>
      <c r="B29" s="52" t="inlineStr">
        <is>
          <t>DXY rebounds above 108 on Fed pause / China property credit event / UST 10yr above 5.5%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41" min="1" max="1"/>
    <col width="16" customWidth="1" style="41" min="2" max="2"/>
    <col width="18" customWidth="1" style="41" min="3" max="4"/>
    <col width="20" customWidth="1" style="41" min="5" max="5"/>
    <col width="16" customWidth="1" style="41" min="6" max="6"/>
  </cols>
  <sheetData>
    <row r="1" ht="18" customHeight="1" s="42">
      <c r="A1" s="53" t="inlineStr">
        <is>
          <t>DXY Index vs MSCI EM Annual Return — 2007-2025  |  Source: Bloomberg, MSCI</t>
        </is>
      </c>
    </row>
    <row r="2" ht="15" customHeight="1" s="42">
      <c r="A2" s="54" t="inlineStr">
        <is>
          <t>Year</t>
        </is>
      </c>
      <c r="B2" s="54" t="inlineStr">
        <is>
          <t>DXY (annual avg)</t>
        </is>
      </c>
      <c r="C2" s="54" t="inlineStr">
        <is>
          <t>MSCI EM Return (%)</t>
        </is>
      </c>
      <c r="D2" s="54" t="inlineStr">
        <is>
          <t>MSCI World Return (%)</t>
        </is>
      </c>
      <c r="E2" s="54" t="inlineStr">
        <is>
          <t>EM vs World Spread (%)</t>
        </is>
      </c>
      <c r="F2" s="54" t="inlineStr">
        <is>
          <t>Note</t>
        </is>
      </c>
    </row>
    <row r="3" ht="15" customHeight="1" s="42">
      <c r="A3" s="55" t="n">
        <v>2007</v>
      </c>
      <c r="B3" s="56" t="n">
        <v>76.8</v>
      </c>
      <c r="C3" s="56" t="n">
        <v>39.8</v>
      </c>
      <c r="D3" s="56" t="n">
        <v>9</v>
      </c>
      <c r="E3" s="57">
        <f>C3-D3</f>
        <v/>
      </c>
      <c r="F3" s="49" t="inlineStr">
        <is>
          <t>EM bull run; weak USD</t>
        </is>
      </c>
    </row>
    <row r="4" ht="15" customHeight="1" s="42">
      <c r="A4" s="55" t="n">
        <v>2008</v>
      </c>
      <c r="B4" s="56" t="n">
        <v>80.09999999999999</v>
      </c>
      <c r="C4" s="56" t="n">
        <v>-53.2</v>
      </c>
      <c r="D4" s="56" t="n">
        <v>-40.7</v>
      </c>
      <c r="E4" s="57">
        <f>C4-D4</f>
        <v/>
      </c>
      <c r="F4" s="49" t="inlineStr">
        <is>
          <t>GFC; both collapse</t>
        </is>
      </c>
    </row>
    <row r="5" ht="15" customHeight="1" s="42">
      <c r="A5" s="55" t="n">
        <v>2009</v>
      </c>
      <c r="B5" s="56" t="n">
        <v>79.8</v>
      </c>
      <c r="C5" s="56" t="n">
        <v>78.5</v>
      </c>
      <c r="D5" s="56" t="n">
        <v>30</v>
      </c>
      <c r="E5" s="57">
        <f>C5-D5</f>
        <v/>
      </c>
      <c r="F5" s="49" t="inlineStr">
        <is>
          <t>Recovery; EM leads</t>
        </is>
      </c>
    </row>
    <row r="6" ht="15" customHeight="1" s="42">
      <c r="A6" s="55" t="n">
        <v>2010</v>
      </c>
      <c r="B6" s="56" t="n">
        <v>78.5</v>
      </c>
      <c r="C6" s="56" t="n">
        <v>18.2</v>
      </c>
      <c r="D6" s="56" t="n">
        <v>12.3</v>
      </c>
      <c r="E6" s="57">
        <f>C6-D6</f>
        <v/>
      </c>
      <c r="F6" s="49" t="inlineStr">
        <is>
          <t>Weak USD supports EM</t>
        </is>
      </c>
    </row>
    <row r="7" ht="15" customHeight="1" s="42">
      <c r="A7" s="55" t="n">
        <v>2011</v>
      </c>
      <c r="B7" s="56" t="n">
        <v>80.09999999999999</v>
      </c>
      <c r="C7" s="56" t="n">
        <v>-18.4</v>
      </c>
      <c r="D7" s="56" t="n">
        <v>-5.5</v>
      </c>
      <c r="E7" s="57">
        <f>C7-D7</f>
        <v/>
      </c>
      <c r="F7" s="49" t="inlineStr">
        <is>
          <t>Euro crisis; EM hurt more</t>
        </is>
      </c>
    </row>
    <row r="8" ht="15" customHeight="1" s="42">
      <c r="A8" s="55" t="n">
        <v>2012</v>
      </c>
      <c r="B8" s="56" t="n">
        <v>80.09999999999999</v>
      </c>
      <c r="C8" s="56" t="n">
        <v>18.2</v>
      </c>
      <c r="D8" s="56" t="n">
        <v>16.5</v>
      </c>
      <c r="E8" s="57">
        <f>C8-D8</f>
        <v/>
      </c>
      <c r="F8" s="49" t="n"/>
    </row>
    <row r="9" ht="15" customHeight="1" s="42">
      <c r="A9" s="55" t="n">
        <v>2013</v>
      </c>
      <c r="B9" s="56" t="n">
        <v>81.5</v>
      </c>
      <c r="C9" s="56" t="n">
        <v>-2.6</v>
      </c>
      <c r="D9" s="56" t="n">
        <v>27.4</v>
      </c>
      <c r="E9" s="57">
        <f>C9-D9</f>
        <v/>
      </c>
      <c r="F9" s="49" t="inlineStr">
        <is>
          <t>Taper tantrum; EM crushed</t>
        </is>
      </c>
    </row>
    <row r="10" ht="15" customHeight="1" s="42">
      <c r="A10" s="55" t="n">
        <v>2014</v>
      </c>
      <c r="B10" s="56" t="n">
        <v>87</v>
      </c>
      <c r="C10" s="56" t="n">
        <v>-2.2</v>
      </c>
      <c r="D10" s="56" t="n">
        <v>5.5</v>
      </c>
      <c r="E10" s="57">
        <f>C10-D10</f>
        <v/>
      </c>
      <c r="F10" s="49" t="inlineStr">
        <is>
          <t>USD surge begins</t>
        </is>
      </c>
    </row>
    <row r="11" ht="15" customHeight="1" s="42">
      <c r="A11" s="55" t="n">
        <v>2015</v>
      </c>
      <c r="B11" s="56" t="n">
        <v>90.3</v>
      </c>
      <c r="C11" s="56" t="n">
        <v>-14.9</v>
      </c>
      <c r="D11" s="56" t="n">
        <v>-0.3</v>
      </c>
      <c r="E11" s="57">
        <f>C11-D11</f>
        <v/>
      </c>
      <c r="F11" s="49" t="inlineStr">
        <is>
          <t>DXY surge; EM falls</t>
        </is>
      </c>
    </row>
    <row r="12" ht="15" customHeight="1" s="42">
      <c r="A12" s="55" t="n">
        <v>2016</v>
      </c>
      <c r="B12" s="56" t="n">
        <v>98.7</v>
      </c>
      <c r="C12" s="56" t="n">
        <v>11.6</v>
      </c>
      <c r="D12" s="56" t="n">
        <v>8.199999999999999</v>
      </c>
      <c r="E12" s="57">
        <f>C12-D12</f>
        <v/>
      </c>
      <c r="F12" s="49" t="inlineStr">
        <is>
          <t>DXY weakens late-year</t>
        </is>
      </c>
    </row>
    <row r="13" ht="15" customHeight="1" s="42">
      <c r="A13" s="55" t="n">
        <v>2017</v>
      </c>
      <c r="B13" s="56" t="n">
        <v>100.5</v>
      </c>
      <c r="C13" s="56" t="n">
        <v>37.3</v>
      </c>
      <c r="D13" s="56" t="n">
        <v>23.1</v>
      </c>
      <c r="E13" s="57">
        <f>C13-D13</f>
        <v/>
      </c>
      <c r="F13" s="49" t="inlineStr">
        <is>
          <t>Best year for EM since 2009</t>
        </is>
      </c>
    </row>
    <row r="14" ht="15" customHeight="1" s="42">
      <c r="A14" s="55" t="n">
        <v>2018</v>
      </c>
      <c r="B14" s="56" t="n">
        <v>91.90000000000001</v>
      </c>
      <c r="C14" s="56" t="n">
        <v>-14.6</v>
      </c>
      <c r="D14" s="56" t="n">
        <v>-8.199999999999999</v>
      </c>
      <c r="E14" s="57">
        <f>C14-D14</f>
        <v/>
      </c>
      <c r="F14" s="49" t="inlineStr">
        <is>
          <t>Trade war; EM harder hit</t>
        </is>
      </c>
    </row>
    <row r="15" ht="15" customHeight="1" s="42">
      <c r="A15" s="55" t="n">
        <v>2019</v>
      </c>
      <c r="B15" s="56" t="n">
        <v>96.5</v>
      </c>
      <c r="C15" s="56" t="n">
        <v>18.6</v>
      </c>
      <c r="D15" s="56" t="n">
        <v>28.4</v>
      </c>
      <c r="E15" s="57">
        <f>C15-D15</f>
        <v/>
      </c>
      <c r="F15" s="49" t="inlineStr">
        <is>
          <t>DM outperforms late-cycle</t>
        </is>
      </c>
    </row>
    <row r="16" ht="15" customHeight="1" s="42">
      <c r="A16" s="55" t="n">
        <v>2020</v>
      </c>
      <c r="B16" s="56" t="n">
        <v>97.2</v>
      </c>
      <c r="C16" s="56" t="n">
        <v>18.3</v>
      </c>
      <c r="D16" s="56" t="n">
        <v>16.8</v>
      </c>
      <c r="E16" s="57">
        <f>C16-D16</f>
        <v/>
      </c>
      <c r="F16" s="49" t="inlineStr">
        <is>
          <t>COVID recovery</t>
        </is>
      </c>
    </row>
    <row r="17" ht="15" customHeight="1" s="42">
      <c r="A17" s="55" t="n">
        <v>2021</v>
      </c>
      <c r="B17" s="56" t="n">
        <v>90</v>
      </c>
      <c r="C17" s="56" t="n">
        <v>-2.5</v>
      </c>
      <c r="D17" s="56" t="n">
        <v>22.4</v>
      </c>
      <c r="E17" s="57">
        <f>C17-D17</f>
        <v/>
      </c>
      <c r="F17" s="49" t="inlineStr">
        <is>
          <t>EM disappoints despite growth</t>
        </is>
      </c>
    </row>
    <row r="18" ht="15" customHeight="1" s="42">
      <c r="A18" s="55" t="n">
        <v>2022</v>
      </c>
      <c r="B18" s="56" t="n">
        <v>102.9</v>
      </c>
      <c r="C18" s="56" t="n">
        <v>-22</v>
      </c>
      <c r="D18" s="56" t="n">
        <v>-17.7</v>
      </c>
      <c r="E18" s="57">
        <f>C18-D18</f>
        <v/>
      </c>
      <c r="F18" s="49" t="inlineStr">
        <is>
          <t>Fed hikes; DXY surges</t>
        </is>
      </c>
    </row>
    <row r="19" ht="15" customHeight="1" s="42">
      <c r="A19" s="55" t="n">
        <v>2023</v>
      </c>
      <c r="B19" s="56" t="n">
        <v>104.6</v>
      </c>
      <c r="C19" s="56" t="n">
        <v>9.800000000000001</v>
      </c>
      <c r="D19" s="56" t="n">
        <v>24.2</v>
      </c>
      <c r="E19" s="57">
        <f>C19-D19</f>
        <v/>
      </c>
      <c r="F19" s="49" t="inlineStr">
        <is>
          <t>US tech boom; EM lags</t>
        </is>
      </c>
    </row>
    <row r="20" ht="15" customHeight="1" s="42">
      <c r="A20" s="55" t="n">
        <v>2024</v>
      </c>
      <c r="B20" s="56" t="n">
        <v>104.5</v>
      </c>
      <c r="C20" s="56" t="n">
        <v>8.1</v>
      </c>
      <c r="D20" s="56" t="n">
        <v>20.1</v>
      </c>
      <c r="E20" s="57">
        <f>C20-D20</f>
        <v/>
      </c>
      <c r="F20" s="49" t="inlineStr">
        <is>
          <t>AI/ET demand; USD resilient</t>
        </is>
      </c>
    </row>
    <row r="21" ht="15" customHeight="1" s="42">
      <c r="A21" s="58" t="n">
        <v>2025</v>
      </c>
      <c r="B21" s="59" t="n">
        <v>101.2</v>
      </c>
      <c r="C21" s="59" t="n">
        <v>6.2</v>
      </c>
      <c r="D21" s="59" t="n">
        <v>5.8</v>
      </c>
      <c r="E21" s="60">
        <f>C21-D21</f>
        <v/>
      </c>
      <c r="F21" s="61" t="inlineStr">
        <is>
          <t>ESTIMATE — DXY breaking lower</t>
        </is>
      </c>
    </row>
    <row r="23" ht="15" customHeight="1" s="42">
      <c r="A23" s="62" t="inlineStr">
        <is>
          <t>OLS Regression output:</t>
        </is>
      </c>
      <c r="B23" s="63" t="inlineStr">
        <is>
          <t>Slope:</t>
        </is>
      </c>
      <c r="C23" s="64" t="inlineStr">
        <is>
          <t>-2.8</t>
        </is>
      </c>
      <c r="D23" s="63" t="inlineStr">
        <is>
          <t>R-squared:</t>
        </is>
      </c>
      <c r="E23" s="65" t="inlineStr">
        <is>
          <t>0.42</t>
        </is>
      </c>
      <c r="F23" s="66" t="inlineStr">
        <is>
          <t>Interpretation: 1pt rise in DXY = ~2.8% headwind to MSCI EM return</t>
        </is>
      </c>
    </row>
    <row r="24" ht="15" customHeight="1" s="42"/>
  </sheetData>
  <mergeCells count="2">
    <mergeCell ref="A1:F1"/>
    <mergeCell ref="F23:F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41" min="1" max="1"/>
    <col width="16" customWidth="1" style="41" min="2" max="3"/>
    <col width="20" customWidth="1" style="41" min="4" max="4"/>
    <col width="16" customWidth="1" style="41" min="5" max="5"/>
    <col width="20" customWidth="1" style="41" min="6" max="6"/>
  </cols>
  <sheetData>
    <row r="1" ht="18" customHeight="1" s="42">
      <c r="A1" s="53" t="inlineStr">
        <is>
          <t>MSCI EM vs MSCI World: Forward P/E Discount History (2004-2026)  |  Source: Bloomberg, FactSet</t>
        </is>
      </c>
    </row>
    <row r="2" ht="15" customHeight="1" s="42">
      <c r="A2" s="54" t="inlineStr">
        <is>
          <t>Year</t>
        </is>
      </c>
      <c r="B2" s="54" t="inlineStr">
        <is>
          <t>MSCI EM Fwd P/E</t>
        </is>
      </c>
      <c r="C2" s="54" t="inlineStr">
        <is>
          <t>MSCI World Fwd P/E</t>
        </is>
      </c>
      <c r="D2" s="54" t="inlineStr">
        <is>
          <t>EM Discount (%)</t>
        </is>
      </c>
      <c r="E2" s="54" t="inlineStr">
        <is>
          <t>20yr Avg Discount (%)</t>
        </is>
      </c>
      <c r="F2" s="54" t="inlineStr">
        <is>
          <t>Note</t>
        </is>
      </c>
    </row>
    <row r="3" ht="15" customHeight="1" s="42">
      <c r="A3" s="55" t="n">
        <v>2004</v>
      </c>
      <c r="B3" s="56" t="n">
        <v>12.1</v>
      </c>
      <c r="C3" s="56" t="n">
        <v>16.2</v>
      </c>
      <c r="D3" s="67">
        <f>(B3-C3)/C3</f>
        <v/>
      </c>
      <c r="E3" s="67">
        <f>AVERAGE($D$3)</f>
        <v/>
      </c>
      <c r="F3" s="49" t="n"/>
    </row>
    <row r="4" ht="15" customHeight="1" s="42">
      <c r="A4" s="55" t="n">
        <v>2005</v>
      </c>
      <c r="B4" s="56" t="n">
        <v>11.8</v>
      </c>
      <c r="C4" s="56" t="n">
        <v>15.8</v>
      </c>
      <c r="D4" s="67">
        <f>(B4-C4)/C4</f>
        <v/>
      </c>
      <c r="E4" s="67">
        <f>AVERAGE($D$3:$D$4)</f>
        <v/>
      </c>
      <c r="F4" s="49" t="n"/>
    </row>
    <row r="5" ht="15" customHeight="1" s="42">
      <c r="A5" s="55" t="n">
        <v>2006</v>
      </c>
      <c r="B5" s="56" t="n">
        <v>13.5</v>
      </c>
      <c r="C5" s="56" t="n">
        <v>16.5</v>
      </c>
      <c r="D5" s="67">
        <f>(B5-C5)/C5</f>
        <v/>
      </c>
      <c r="E5" s="67">
        <f>AVERAGE($D$3:$D$5)</f>
        <v/>
      </c>
      <c r="F5" s="49" t="n"/>
    </row>
    <row r="6" ht="15" customHeight="1" s="42">
      <c r="A6" s="55" t="n">
        <v>2007</v>
      </c>
      <c r="B6" s="56" t="n">
        <v>16.8</v>
      </c>
      <c r="C6" s="56" t="n">
        <v>17.2</v>
      </c>
      <c r="D6" s="67">
        <f>(B6-C6)/C6</f>
        <v/>
      </c>
      <c r="E6" s="67">
        <f>AVERAGE($D$3:$D$6)</f>
        <v/>
      </c>
      <c r="F6" s="49" t="inlineStr">
        <is>
          <t>EM premium at cycle peak</t>
        </is>
      </c>
    </row>
    <row r="7" ht="15" customHeight="1" s="42">
      <c r="A7" s="55" t="n">
        <v>2008</v>
      </c>
      <c r="B7" s="56" t="n">
        <v>7.2</v>
      </c>
      <c r="C7" s="56" t="n">
        <v>10.5</v>
      </c>
      <c r="D7" s="67">
        <f>(B7-C7)/C7</f>
        <v/>
      </c>
      <c r="E7" s="67">
        <f>AVERAGE($D$3:$D$7)</f>
        <v/>
      </c>
      <c r="F7" s="49" t="inlineStr">
        <is>
          <t>GFC — both cheap</t>
        </is>
      </c>
    </row>
    <row r="8" ht="15" customHeight="1" s="42">
      <c r="A8" s="55" t="n">
        <v>2009</v>
      </c>
      <c r="B8" s="56" t="n">
        <v>13.2</v>
      </c>
      <c r="C8" s="56" t="n">
        <v>14.5</v>
      </c>
      <c r="D8" s="67">
        <f>(B8-C8)/C8</f>
        <v/>
      </c>
      <c r="E8" s="67">
        <f>AVERAGE($D$3:$D$8)</f>
        <v/>
      </c>
      <c r="F8" s="49" t="inlineStr">
        <is>
          <t>Recovery; EM cheaper</t>
        </is>
      </c>
    </row>
    <row r="9" ht="15" customHeight="1" s="42">
      <c r="A9" s="55" t="n">
        <v>2010</v>
      </c>
      <c r="B9" s="56" t="n">
        <v>12.5</v>
      </c>
      <c r="C9" s="56" t="n">
        <v>14</v>
      </c>
      <c r="D9" s="67">
        <f>(B9-C9)/C9</f>
        <v/>
      </c>
      <c r="E9" s="67">
        <f>AVERAGE($D$3:$D$9)</f>
        <v/>
      </c>
      <c r="F9" s="49" t="n"/>
    </row>
    <row r="10" ht="15" customHeight="1" s="42">
      <c r="A10" s="55" t="n">
        <v>2011</v>
      </c>
      <c r="B10" s="56" t="n">
        <v>10.2</v>
      </c>
      <c r="C10" s="56" t="n">
        <v>13.2</v>
      </c>
      <c r="D10" s="67">
        <f>(B10-C10)/C10</f>
        <v/>
      </c>
      <c r="E10" s="67">
        <f>AVERAGE($D$3:$D$10)</f>
        <v/>
      </c>
      <c r="F10" s="49" t="inlineStr">
        <is>
          <t>Discount widens on Euro crisis</t>
        </is>
      </c>
    </row>
    <row r="11" ht="15" customHeight="1" s="42">
      <c r="A11" s="55" t="n">
        <v>2012</v>
      </c>
      <c r="B11" s="56" t="n">
        <v>11</v>
      </c>
      <c r="C11" s="56" t="n">
        <v>14</v>
      </c>
      <c r="D11" s="67">
        <f>(B11-C11)/C11</f>
        <v/>
      </c>
      <c r="E11" s="67">
        <f>AVERAGE($D$3:$D$11)</f>
        <v/>
      </c>
      <c r="F11" s="49" t="n"/>
    </row>
    <row r="12" ht="15" customHeight="1" s="42">
      <c r="A12" s="55" t="n">
        <v>2013</v>
      </c>
      <c r="B12" s="56" t="n">
        <v>11.5</v>
      </c>
      <c r="C12" s="56" t="n">
        <v>15.5</v>
      </c>
      <c r="D12" s="67">
        <f>(B12-C12)/C12</f>
        <v/>
      </c>
      <c r="E12" s="67">
        <f>AVERAGE($D$3:$D$12)</f>
        <v/>
      </c>
      <c r="F12" s="49" t="inlineStr">
        <is>
          <t>Taper tantrum widens discount</t>
        </is>
      </c>
    </row>
    <row r="13" ht="15" customHeight="1" s="42">
      <c r="A13" s="55" t="n">
        <v>2014</v>
      </c>
      <c r="B13" s="56" t="n">
        <v>11.2</v>
      </c>
      <c r="C13" s="56" t="n">
        <v>16</v>
      </c>
      <c r="D13" s="67">
        <f>(B13-C13)/C13</f>
        <v/>
      </c>
      <c r="E13" s="67">
        <f>AVERAGE($D$3:$D$13)</f>
        <v/>
      </c>
      <c r="F13" s="49" t="n"/>
    </row>
    <row r="14" ht="15" customHeight="1" s="42">
      <c r="A14" s="55" t="n">
        <v>2015</v>
      </c>
      <c r="B14" s="56" t="n">
        <v>11</v>
      </c>
      <c r="C14" s="56" t="n">
        <v>16.5</v>
      </c>
      <c r="D14" s="67">
        <f>(B14-C14)/C14</f>
        <v/>
      </c>
      <c r="E14" s="67">
        <f>AVERAGE($D$3:$D$14)</f>
        <v/>
      </c>
      <c r="F14" s="49" t="n"/>
    </row>
    <row r="15" ht="15" customHeight="1" s="42">
      <c r="A15" s="55" t="n">
        <v>2016</v>
      </c>
      <c r="B15" s="56" t="n">
        <v>12</v>
      </c>
      <c r="C15" s="56" t="n">
        <v>17</v>
      </c>
      <c r="D15" s="67">
        <f>(B15-C15)/C15</f>
        <v/>
      </c>
      <c r="E15" s="67">
        <f>AVERAGE($D$3:$D$15)</f>
        <v/>
      </c>
      <c r="F15" s="49" t="inlineStr">
        <is>
          <t>Discount near extreme</t>
        </is>
      </c>
    </row>
    <row r="16" ht="15" customHeight="1" s="42">
      <c r="A16" s="55" t="n">
        <v>2017</v>
      </c>
      <c r="B16" s="56" t="n">
        <v>13.2</v>
      </c>
      <c r="C16" s="56" t="n">
        <v>18.2</v>
      </c>
      <c r="D16" s="67">
        <f>(B16-C16)/C16</f>
        <v/>
      </c>
      <c r="E16" s="67">
        <f>AVERAGE($D$3:$D$16)</f>
        <v/>
      </c>
      <c r="F16" s="49" t="inlineStr">
        <is>
          <t>EM re-rates; discount narrows</t>
        </is>
      </c>
    </row>
    <row r="17" ht="15" customHeight="1" s="42">
      <c r="A17" s="55" t="n">
        <v>2018</v>
      </c>
      <c r="B17" s="56" t="n">
        <v>11</v>
      </c>
      <c r="C17" s="56" t="n">
        <v>16.5</v>
      </c>
      <c r="D17" s="67">
        <f>(B17-C17)/C17</f>
        <v/>
      </c>
      <c r="E17" s="67">
        <f>AVERAGE($D$3:$D$17)</f>
        <v/>
      </c>
      <c r="F17" s="49" t="n"/>
    </row>
    <row r="18" ht="15" customHeight="1" s="42">
      <c r="A18" s="55" t="n">
        <v>2019</v>
      </c>
      <c r="B18" s="56" t="n">
        <v>12.5</v>
      </c>
      <c r="C18" s="56" t="n">
        <v>18.5</v>
      </c>
      <c r="D18" s="67">
        <f>(B18-C18)/C18</f>
        <v/>
      </c>
      <c r="E18" s="67">
        <f>AVERAGE($D$3:$D$18)</f>
        <v/>
      </c>
      <c r="F18" s="49" t="n"/>
    </row>
    <row r="19" ht="15" customHeight="1" s="42">
      <c r="A19" s="55" t="n">
        <v>2020</v>
      </c>
      <c r="B19" s="56" t="n">
        <v>14.2</v>
      </c>
      <c r="C19" s="56" t="n">
        <v>23</v>
      </c>
      <c r="D19" s="67">
        <f>(B19-C19)/C19</f>
        <v/>
      </c>
      <c r="E19" s="67">
        <f>AVERAGE($D$3:$D$19)</f>
        <v/>
      </c>
      <c r="F19" s="49" t="inlineStr">
        <is>
          <t>COVID stimulus inflates DM P/E</t>
        </is>
      </c>
    </row>
    <row r="20" ht="15" customHeight="1" s="42">
      <c r="A20" s="55" t="n">
        <v>2021</v>
      </c>
      <c r="B20" s="56" t="n">
        <v>12.8</v>
      </c>
      <c r="C20" s="56" t="n">
        <v>21</v>
      </c>
      <c r="D20" s="67">
        <f>(B20-C20)/C20</f>
        <v/>
      </c>
      <c r="E20" s="67">
        <f>AVERAGE($D$3:$D$20)</f>
        <v/>
      </c>
      <c r="F20" s="49" t="inlineStr">
        <is>
          <t>Discount widens again</t>
        </is>
      </c>
    </row>
    <row r="21" ht="15" customHeight="1" s="42">
      <c r="A21" s="55" t="n">
        <v>2022</v>
      </c>
      <c r="B21" s="56" t="n">
        <v>10.2</v>
      </c>
      <c r="C21" s="56" t="n">
        <v>16.5</v>
      </c>
      <c r="D21" s="67">
        <f>(B21-C21)/C21</f>
        <v/>
      </c>
      <c r="E21" s="67">
        <f>AVERAGE($D$3:$D$21)</f>
        <v/>
      </c>
      <c r="F21" s="49" t="inlineStr">
        <is>
          <t>Rate hike shock — both fall</t>
        </is>
      </c>
    </row>
    <row r="22" ht="15" customHeight="1" s="42">
      <c r="A22" s="55" t="n">
        <v>2023</v>
      </c>
      <c r="B22" s="56" t="n">
        <v>11.8</v>
      </c>
      <c r="C22" s="56" t="n">
        <v>19.5</v>
      </c>
      <c r="D22" s="67">
        <f>(B22-C22)/C22</f>
        <v/>
      </c>
      <c r="E22" s="67">
        <f>AVERAGE($D$3:$D$22)</f>
        <v/>
      </c>
      <c r="F22" s="49" t="inlineStr">
        <is>
          <t>US tech re-rates DM up</t>
        </is>
      </c>
    </row>
    <row r="23" ht="15" customHeight="1" s="42">
      <c r="A23" s="55" t="n">
        <v>2024</v>
      </c>
      <c r="B23" s="56" t="n">
        <v>12.3</v>
      </c>
      <c r="C23" s="56" t="n">
        <v>21.5</v>
      </c>
      <c r="D23" s="67">
        <f>(B23-C23)/C23</f>
        <v/>
      </c>
      <c r="E23" s="67">
        <f>AVERAGE($D$3:$D$23)</f>
        <v/>
      </c>
      <c r="F23" s="49" t="inlineStr">
        <is>
          <t>Current near-extreme discount</t>
        </is>
      </c>
    </row>
    <row r="24" ht="15" customHeight="1" s="42">
      <c r="A24" s="58" t="n">
        <v>2025</v>
      </c>
      <c r="B24" s="59" t="n">
        <v>12.5</v>
      </c>
      <c r="C24" s="59" t="n">
        <v>20</v>
      </c>
      <c r="D24" s="68">
        <f>(B24-C24)/C24</f>
        <v/>
      </c>
      <c r="E24" s="68">
        <f>AVERAGE($D$3:$D$24)</f>
        <v/>
      </c>
      <c r="F24" s="61" t="inlineStr">
        <is>
          <t>ESTIMATE — partial re-rating</t>
        </is>
      </c>
    </row>
    <row r="25" ht="15" customHeight="1" s="42">
      <c r="A25" s="58" t="n">
        <v>2026</v>
      </c>
      <c r="B25" s="59" t="n">
        <v>13</v>
      </c>
      <c r="C25" s="59" t="n">
        <v>19.5</v>
      </c>
      <c r="D25" s="68">
        <f>(B25-C25)/C25</f>
        <v/>
      </c>
      <c r="E25" s="68">
        <f>AVERAGE($D$3:$D$25)</f>
        <v/>
      </c>
      <c r="F25" s="61" t="inlineStr">
        <is>
          <t>ESTIMATE — continued re-rating</t>
        </is>
      </c>
    </row>
    <row r="27" ht="15" customHeight="1" s="42">
      <c r="A27" s="62" t="inlineStr">
        <is>
          <t>Re-rating upside calculation:</t>
        </is>
      </c>
    </row>
    <row r="28" ht="15" customHeight="1" s="42">
      <c r="A28" s="63" t="inlineStr">
        <is>
          <t>If discount reverts from current to 20yr avg:</t>
        </is>
      </c>
      <c r="B28" s="69">
        <f>D25/AVERAGE(D3:D25)-1</f>
        <v/>
      </c>
      <c r="C28" s="66" t="inlineStr">
        <is>
          <t>(EM P/E upside, holding DM constant)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41" min="1" max="1"/>
    <col width="12" customWidth="1" style="41" min="2" max="2"/>
    <col width="14" customWidth="1" style="41" min="3" max="4"/>
    <col width="16" customWidth="1" style="41" min="5" max="5"/>
    <col width="14" customWidth="1" style="41" min="6" max="6"/>
    <col width="22" customWidth="1" style="41" min="7" max="7"/>
  </cols>
  <sheetData>
    <row r="1" ht="18" customHeight="1" s="42">
      <c r="A1" s="53" t="inlineStr">
        <is>
          <t>MSCI EM Country Valuations — April 2026  |  Source: Bloomberg, FactSet, MSCI</t>
        </is>
      </c>
    </row>
    <row r="2" ht="15" customHeight="1" s="42">
      <c r="A2" s="54" t="inlineStr">
        <is>
          <t>Country</t>
        </is>
      </c>
      <c r="B2" s="54" t="inlineStr">
        <is>
          <t>MSCI EM Weight</t>
        </is>
      </c>
      <c r="C2" s="54" t="inlineStr">
        <is>
          <t>NTM P/E</t>
        </is>
      </c>
      <c r="D2" s="54" t="inlineStr">
        <is>
          <t>5yr Avg P/E</t>
        </is>
      </c>
      <c r="E2" s="54" t="inlineStr">
        <is>
          <t>P/E vs 5yr (%)</t>
        </is>
      </c>
      <c r="F2" s="54" t="inlineStr">
        <is>
          <t>Fwd EPS Growth (%)</t>
        </is>
      </c>
      <c r="G2" s="54" t="inlineStr">
        <is>
          <t>Investment angle</t>
        </is>
      </c>
    </row>
    <row r="3" ht="15" customHeight="1" s="42">
      <c r="A3" s="47" t="inlineStr">
        <is>
          <t>China</t>
        </is>
      </c>
      <c r="B3" s="70" t="n">
        <v>27</v>
      </c>
      <c r="C3" s="56" t="n">
        <v>10.2</v>
      </c>
      <c r="D3" s="56" t="n">
        <v>12</v>
      </c>
      <c r="E3" s="67">
        <f>(C3-D3)/D3</f>
        <v/>
      </c>
      <c r="F3" s="70" t="n">
        <v>8.5</v>
      </c>
      <c r="G3" s="49" t="inlineStr">
        <is>
          <t>Cheap; policy tail; property risk</t>
        </is>
      </c>
    </row>
    <row r="4" ht="15" customHeight="1" s="42">
      <c r="A4" s="47" t="inlineStr">
        <is>
          <t>Taiwan</t>
        </is>
      </c>
      <c r="B4" s="70" t="n">
        <v>17</v>
      </c>
      <c r="C4" s="56" t="n">
        <v>15.8</v>
      </c>
      <c r="D4" s="56" t="n">
        <v>16.5</v>
      </c>
      <c r="E4" s="67">
        <f>(C4-D4)/D4</f>
        <v/>
      </c>
      <c r="F4" s="70" t="n">
        <v>12</v>
      </c>
      <c r="G4" s="49" t="inlineStr">
        <is>
          <t>Tech cycle; AI supply chain; TSMC</t>
        </is>
      </c>
    </row>
    <row r="5" ht="15" customHeight="1" s="42">
      <c r="A5" s="47" t="inlineStr">
        <is>
          <t>India</t>
        </is>
      </c>
      <c r="B5" s="70" t="n">
        <v>18</v>
      </c>
      <c r="C5" s="56" t="n">
        <v>22.5</v>
      </c>
      <c r="D5" s="56" t="n">
        <v>21</v>
      </c>
      <c r="E5" s="67">
        <f>(C5-D5)/D5</f>
        <v/>
      </c>
      <c r="F5" s="70" t="n">
        <v>14</v>
      </c>
      <c r="G5" s="49" t="inlineStr">
        <is>
          <t>Premium multiple; structural growth 6-7% GDP</t>
        </is>
      </c>
    </row>
    <row r="6" ht="15" customHeight="1" s="42">
      <c r="A6" s="47" t="inlineStr">
        <is>
          <t>South Korea</t>
        </is>
      </c>
      <c r="B6" s="70" t="n">
        <v>13</v>
      </c>
      <c r="C6" s="56" t="n">
        <v>10.5</v>
      </c>
      <c r="D6" s="56" t="n">
        <v>12.8</v>
      </c>
      <c r="E6" s="67">
        <f>(C6-D6)/D6</f>
        <v/>
      </c>
      <c r="F6" s="70" t="n">
        <v>9</v>
      </c>
      <c r="G6" s="49" t="inlineStr">
        <is>
          <t>Discount to history; semis; Samsung/SK Hynix</t>
        </is>
      </c>
    </row>
    <row r="7" ht="15" customHeight="1" s="42">
      <c r="A7" s="47" t="inlineStr">
        <is>
          <t>Brazil</t>
        </is>
      </c>
      <c r="B7" s="70" t="n">
        <v>5</v>
      </c>
      <c r="C7" s="56" t="n">
        <v>8.800000000000001</v>
      </c>
      <c r="D7" s="56" t="n">
        <v>10.5</v>
      </c>
      <c r="E7" s="67">
        <f>(C7-D7)/D7</f>
        <v/>
      </c>
      <c r="F7" s="70" t="n">
        <v>7</v>
      </c>
      <c r="G7" s="49" t="inlineStr">
        <is>
          <t>Cheap; commodity-linked; political risk</t>
        </is>
      </c>
    </row>
    <row r="8" ht="15" customHeight="1" s="42">
      <c r="A8" s="47" t="inlineStr">
        <is>
          <t>Saudi Arabia</t>
        </is>
      </c>
      <c r="B8" s="70" t="n">
        <v>4.5</v>
      </c>
      <c r="C8" s="56" t="n">
        <v>14.2</v>
      </c>
      <c r="D8" s="56" t="n">
        <v>15</v>
      </c>
      <c r="E8" s="67">
        <f>(C8-D8)/D8</f>
        <v/>
      </c>
      <c r="F8" s="70" t="n">
        <v>5.5</v>
      </c>
      <c r="G8" s="49" t="inlineStr">
        <is>
          <t>Oil-linked; Vision 2030 capex</t>
        </is>
      </c>
    </row>
    <row r="9" ht="15" customHeight="1" s="42">
      <c r="A9" s="47" t="inlineStr">
        <is>
          <t>Indonesia</t>
        </is>
      </c>
      <c r="B9" s="70" t="n">
        <v>2.2</v>
      </c>
      <c r="C9" s="56" t="n">
        <v>13.5</v>
      </c>
      <c r="D9" s="56" t="n">
        <v>14.2</v>
      </c>
      <c r="E9" s="67">
        <f>(C9-D9)/D9</f>
        <v/>
      </c>
      <c r="F9" s="70" t="n">
        <v>8</v>
      </c>
      <c r="G9" s="49" t="inlineStr">
        <is>
          <t>Commodity exporter; growing domestic demand</t>
        </is>
      </c>
    </row>
    <row r="10" ht="15" customHeight="1" s="42">
      <c r="A10" s="47" t="inlineStr">
        <is>
          <t>Mexico</t>
        </is>
      </c>
      <c r="B10" s="70" t="n">
        <v>2</v>
      </c>
      <c r="C10" s="56" t="n">
        <v>12.2</v>
      </c>
      <c r="D10" s="56" t="n">
        <v>14.5</v>
      </c>
      <c r="E10" s="67">
        <f>(C10-D10)/D10</f>
        <v/>
      </c>
      <c r="F10" s="70" t="n">
        <v>6</v>
      </c>
      <c r="G10" s="49" t="inlineStr">
        <is>
          <t>Near-shoring beneficiary; political risk</t>
        </is>
      </c>
    </row>
    <row r="11" ht="15" customHeight="1" s="42">
      <c r="A11" s="47" t="inlineStr">
        <is>
          <t>South Africa</t>
        </is>
      </c>
      <c r="B11" s="70" t="n">
        <v>1.8</v>
      </c>
      <c r="C11" s="56" t="n">
        <v>9.5</v>
      </c>
      <c r="D11" s="56" t="n">
        <v>11</v>
      </c>
      <c r="E11" s="67">
        <f>(C11-D11)/D11</f>
        <v/>
      </c>
      <c r="F11" s="70" t="n">
        <v>5.5</v>
      </c>
      <c r="G11" s="49" t="inlineStr">
        <is>
          <t>Deeply cheap; power/political constraints</t>
        </is>
      </c>
    </row>
    <row r="12" ht="15" customHeight="1" s="42">
      <c r="A12" s="47" t="inlineStr">
        <is>
          <t>Thailand</t>
        </is>
      </c>
      <c r="B12" s="70" t="n">
        <v>1.5</v>
      </c>
      <c r="C12" s="56" t="n">
        <v>14.8</v>
      </c>
      <c r="D12" s="56" t="n">
        <v>16</v>
      </c>
      <c r="E12" s="67">
        <f>(C12-D12)/D12</f>
        <v/>
      </c>
      <c r="F12" s="70" t="n">
        <v>7</v>
      </c>
      <c r="G12" s="49" t="inlineStr">
        <is>
          <t>Tourism recovery; baht sensitivity</t>
        </is>
      </c>
    </row>
    <row r="14" ht="15" customHeight="1" s="42">
      <c r="A14" s="71" t="inlineStr">
        <is>
          <t>MSCI EM (index)</t>
        </is>
      </c>
      <c r="B14" s="72">
        <f>SUM(B3:B12)</f>
        <v/>
      </c>
      <c r="C14" s="73" t="n">
        <v>12.5</v>
      </c>
      <c r="D14" s="73" t="n">
        <v>14.5</v>
      </c>
      <c r="E14" s="74">
        <f>(C14-D14)/D14</f>
        <v/>
      </c>
      <c r="F14" s="72" t="n">
        <v>9</v>
      </c>
      <c r="G14" s="75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41" min="1" max="1"/>
    <col width="18" customWidth="1" style="41" min="2" max="3"/>
    <col width="20" customWidth="1" style="41" min="4" max="4"/>
    <col width="22" customWidth="1" style="41" min="5" max="5"/>
  </cols>
  <sheetData>
    <row r="1" ht="18" customHeight="1" s="42">
      <c r="A1" s="53" t="inlineStr">
        <is>
          <t>Net ETF Flows: EM vs US Equities (USD bn)  |  Source: EPFR Global, BofA Global Research</t>
        </is>
      </c>
    </row>
    <row r="2" ht="15" customHeight="1" s="42">
      <c r="A2" s="54" t="inlineStr">
        <is>
          <t>Year</t>
        </is>
      </c>
      <c r="B2" s="54" t="inlineStr">
        <is>
          <t>US Equity Net Flows ($bn)</t>
        </is>
      </c>
      <c r="C2" s="54" t="inlineStr">
        <is>
          <t>EM Equity Net Flows ($bn)</t>
        </is>
      </c>
      <c r="D2" s="54" t="inlineStr">
        <is>
          <t>Ratio (US/EM)</t>
        </is>
      </c>
      <c r="E2" s="54" t="inlineStr">
        <is>
          <t>Note</t>
        </is>
      </c>
    </row>
    <row r="3" ht="15" customHeight="1" s="42">
      <c r="A3" s="55" t="n">
        <v>2019</v>
      </c>
      <c r="B3" s="76" t="n">
        <v>82</v>
      </c>
      <c r="C3" s="76" t="n">
        <v>38</v>
      </c>
      <c r="D3" s="77">
        <f>B3/C3</f>
        <v/>
      </c>
      <c r="E3" s="49" t="inlineStr">
        <is>
          <t>Relatively balanced</t>
        </is>
      </c>
    </row>
    <row r="4" ht="15" customHeight="1" s="42">
      <c r="A4" s="55" t="n">
        <v>2020</v>
      </c>
      <c r="B4" s="76" t="n">
        <v>125</v>
      </c>
      <c r="C4" s="76" t="n">
        <v>42</v>
      </c>
      <c r="D4" s="77">
        <f>B4/C4</f>
        <v/>
      </c>
      <c r="E4" s="49" t="inlineStr">
        <is>
          <t>COVID; US outperforms</t>
        </is>
      </c>
    </row>
    <row r="5" ht="15" customHeight="1" s="42">
      <c r="A5" s="55" t="n">
        <v>2021</v>
      </c>
      <c r="B5" s="76" t="n">
        <v>220</v>
      </c>
      <c r="C5" s="76" t="n">
        <v>55</v>
      </c>
      <c r="D5" s="77">
        <f>B5/C5</f>
        <v/>
      </c>
      <c r="E5" s="49" t="inlineStr">
        <is>
          <t>US tech bull; EM ignored</t>
        </is>
      </c>
    </row>
    <row r="6" ht="15" customHeight="1" s="42">
      <c r="A6" s="55" t="n">
        <v>2022</v>
      </c>
      <c r="B6" s="76" t="n">
        <v>95</v>
      </c>
      <c r="C6" s="76" t="n">
        <v>-12</v>
      </c>
      <c r="D6" s="77">
        <f>B6/C6</f>
        <v/>
      </c>
      <c r="E6" s="49" t="inlineStr">
        <is>
          <t>EM outflows on rate shock</t>
        </is>
      </c>
    </row>
    <row r="7" ht="15" customHeight="1" s="42">
      <c r="A7" s="55" t="n">
        <v>2023</v>
      </c>
      <c r="B7" s="76" t="n">
        <v>195</v>
      </c>
      <c r="C7" s="76" t="n">
        <v>14</v>
      </c>
      <c r="D7" s="77">
        <f>B7/C7</f>
        <v/>
      </c>
      <c r="E7" s="49" t="inlineStr">
        <is>
          <t>US AI theme begins</t>
        </is>
      </c>
    </row>
    <row r="8" ht="15" customHeight="1" s="42">
      <c r="A8" s="55" t="n">
        <v>2024</v>
      </c>
      <c r="B8" s="76" t="n">
        <v>255</v>
      </c>
      <c r="C8" s="76" t="n">
        <v>14</v>
      </c>
      <c r="D8" s="77">
        <f>B8/C8</f>
        <v/>
      </c>
      <c r="E8" s="49" t="inlineStr">
        <is>
          <t>Record US inflows; EM trickle</t>
        </is>
      </c>
    </row>
    <row r="9" ht="15" customHeight="1" s="42">
      <c r="A9" s="58" t="n">
        <v>2025</v>
      </c>
      <c r="B9" s="78" t="n">
        <v>80</v>
      </c>
      <c r="C9" s="78" t="n">
        <v>22</v>
      </c>
      <c r="D9" s="79">
        <f>B9/C9</f>
        <v/>
      </c>
      <c r="E9" s="61" t="inlineStr">
        <is>
          <t>ESTIMATE — rotation beginning</t>
        </is>
      </c>
    </row>
    <row r="11" ht="15" customHeight="1" s="42">
      <c r="A11" s="62" t="inlineStr">
        <is>
          <t>2023-24 total US flows:</t>
        </is>
      </c>
      <c r="B11" s="80">
        <f>SUM(B9:B8)</f>
        <v/>
      </c>
    </row>
    <row r="12" ht="15" customHeight="1" s="42">
      <c r="A12" s="62" t="inlineStr">
        <is>
          <t>2023-24 total EM flows:</t>
        </is>
      </c>
      <c r="B12" s="80">
        <f>SUM(C9:C8)</f>
        <v/>
      </c>
    </row>
    <row r="13" ht="15" customHeight="1" s="42">
      <c r="A13" s="81" t="inlineStr">
        <is>
          <t>Implication: EM at record underweight vs US — reversal trade when macro turns</t>
        </is>
      </c>
    </row>
  </sheetData>
  <mergeCells count="2">
    <mergeCell ref="A1:E1"/>
    <mergeCell ref="A13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28" customWidth="1" style="42" min="1" max="1"/>
    <col width="14" customWidth="1" style="42" min="2" max="2"/>
    <col width="14" customWidth="1" style="42" min="3" max="3"/>
    <col width="12" customWidth="1" style="42" min="4" max="4"/>
    <col width="12" customWidth="1" style="42" min="5" max="5"/>
    <col width="10" customWidth="1" style="42" min="6" max="6"/>
    <col width="16" customWidth="1" style="42" min="7" max="7"/>
    <col width="16" customWidth="1" style="42" min="8" max="8"/>
    <col width="14" customWidth="1" style="42" min="9" max="9"/>
    <col width="28" customWidth="1" style="42" min="10" max="10"/>
  </cols>
  <sheetData>
    <row r="1">
      <c r="A1" s="82" t="inlineStr">
        <is>
          <t>OLS Regression: MSCI EM Annual Return (%) ~ DXY Index Level</t>
        </is>
      </c>
    </row>
    <row r="3">
      <c r="A3" s="83" t="inlineStr">
        <is>
          <t>Regression Summary</t>
        </is>
      </c>
    </row>
    <row r="4">
      <c r="A4" s="84" t="inlineStr">
        <is>
          <t>Statistic</t>
        </is>
      </c>
      <c r="B4" s="84" t="inlineStr">
        <is>
          <t>Value</t>
        </is>
      </c>
      <c r="C4" s="84" t="inlineStr">
        <is>
          <t>Interpretation</t>
        </is>
      </c>
    </row>
    <row r="5">
      <c r="A5" s="85" t="inlineStr">
        <is>
          <t>Dependent variable</t>
        </is>
      </c>
      <c r="B5" s="86" t="inlineStr">
        <is>
          <t>MSCI EM Annual Return (%)</t>
        </is>
      </c>
      <c r="C5" s="87" t="inlineStr"/>
    </row>
    <row r="6">
      <c r="A6" s="88" t="inlineStr">
        <is>
          <t>Independent variable</t>
        </is>
      </c>
      <c r="B6" s="89" t="inlineStr">
        <is>
          <t>DXY Index Level</t>
        </is>
      </c>
      <c r="C6" s="90" t="inlineStr"/>
    </row>
    <row r="7">
      <c r="A7" s="85" t="inlineStr">
        <is>
          <t>Sample period</t>
        </is>
      </c>
      <c r="B7" s="86" t="inlineStr">
        <is>
          <t>2007–2023 annual (n=17)</t>
        </is>
      </c>
      <c r="C7" s="87" t="inlineStr"/>
    </row>
    <row r="8">
      <c r="A8" s="88" t="inlineStr">
        <is>
          <t>No. observations</t>
        </is>
      </c>
      <c r="B8" s="89" t="n">
        <v>17</v>
      </c>
      <c r="C8" s="90" t="inlineStr"/>
    </row>
    <row r="9">
      <c r="A9" s="85" t="inlineStr">
        <is>
          <t>R-squared</t>
        </is>
      </c>
      <c r="B9" s="86" t="n">
        <v>0.0189</v>
      </c>
      <c r="C9" s="87" t="inlineStr">
        <is>
          <t>% of variation in Y explained by X</t>
        </is>
      </c>
    </row>
    <row r="10">
      <c r="A10" s="88" t="inlineStr">
        <is>
          <t>Adjusted R-squared</t>
        </is>
      </c>
      <c r="B10" s="89" t="n">
        <v>-0.0465</v>
      </c>
      <c r="C10" s="90" t="inlineStr">
        <is>
          <t>R² penalised for sample size</t>
        </is>
      </c>
    </row>
    <row r="11">
      <c r="A11" s="85" t="inlineStr">
        <is>
          <t>F-statistic</t>
        </is>
      </c>
      <c r="B11" s="86" t="n">
        <v>0.2897</v>
      </c>
      <c r="C11" s="87" t="inlineStr">
        <is>
          <t>Joint significance of all regressors</t>
        </is>
      </c>
    </row>
    <row r="12">
      <c r="A12" s="88" t="inlineStr">
        <is>
          <t>Prob(F-statistic)</t>
        </is>
      </c>
      <c r="B12" s="89" t="n">
        <v>0.5983000000000001</v>
      </c>
      <c r="C12" s="90" t="inlineStr">
        <is>
          <t>p&lt;0.05 = model is jointly significant</t>
        </is>
      </c>
    </row>
    <row r="13">
      <c r="A13" s="85" t="inlineStr">
        <is>
          <t>AIC</t>
        </is>
      </c>
      <c r="B13" s="86" t="n">
        <v>142.98</v>
      </c>
      <c r="C13" s="87" t="inlineStr">
        <is>
          <t>Lower = better fit (model selection)</t>
        </is>
      </c>
    </row>
    <row r="14">
      <c r="A14" s="88" t="inlineStr">
        <is>
          <t>BIC</t>
        </is>
      </c>
      <c r="B14" s="89" t="n">
        <v>144.65</v>
      </c>
      <c r="C14" s="90" t="inlineStr">
        <is>
          <t>Lower = better fit (penalises params)</t>
        </is>
      </c>
    </row>
    <row r="15">
      <c r="A15" s="85" t="inlineStr">
        <is>
          <t>Pearson r</t>
        </is>
      </c>
      <c r="B15" s="86" t="n">
        <v>-0.1376</v>
      </c>
      <c r="C15" s="87" t="inlineStr">
        <is>
          <t>Linear correlation coefficient</t>
        </is>
      </c>
    </row>
    <row r="17">
      <c r="A17" s="83" t="inlineStr">
        <is>
          <t>Coefficient Table</t>
        </is>
      </c>
    </row>
    <row r="18">
      <c r="A18" s="84" t="inlineStr">
        <is>
          <t>Variable</t>
        </is>
      </c>
      <c r="B18" s="84" t="inlineStr">
        <is>
          <t>Coefficient</t>
        </is>
      </c>
      <c r="C18" s="84" t="inlineStr">
        <is>
          <t>Std Error</t>
        </is>
      </c>
      <c r="D18" s="84" t="inlineStr">
        <is>
          <t>t-stat</t>
        </is>
      </c>
      <c r="E18" s="84" t="inlineStr">
        <is>
          <t>p-value</t>
        </is>
      </c>
      <c r="F18" s="84" t="inlineStr">
        <is>
          <t>Sig.</t>
        </is>
      </c>
      <c r="G18" s="84" t="inlineStr">
        <is>
          <t>95% CI Low</t>
        </is>
      </c>
      <c r="H18" s="84" t="inlineStr">
        <is>
          <t>95% CI High</t>
        </is>
      </c>
    </row>
    <row r="19">
      <c r="A19" s="91" t="inlineStr">
        <is>
          <t>Constant</t>
        </is>
      </c>
      <c r="B19" s="86" t="n">
        <v>28.2624</v>
      </c>
      <c r="C19" s="86" t="n">
        <v>44.4143</v>
      </c>
      <c r="D19" s="86" t="n">
        <v>0.636</v>
      </c>
      <c r="E19" s="86" t="n">
        <v>0.5341</v>
      </c>
      <c r="F19" s="91" t="inlineStr">
        <is>
          <t>n.s.</t>
        </is>
      </c>
      <c r="G19" s="91" t="n">
        <v>-66.4044</v>
      </c>
      <c r="H19" s="91" t="n">
        <v>122.9291</v>
      </c>
    </row>
    <row r="20">
      <c r="A20" s="92" t="inlineStr">
        <is>
          <t>DXY Index Level</t>
        </is>
      </c>
      <c r="B20" s="89" t="n">
        <v>-0.2494</v>
      </c>
      <c r="C20" s="89" t="n">
        <v>0.4633</v>
      </c>
      <c r="D20" s="89" t="n">
        <v>-0.538</v>
      </c>
      <c r="E20" s="89" t="n">
        <v>0.5983000000000001</v>
      </c>
      <c r="F20" s="92" t="inlineStr">
        <is>
          <t>n.s.</t>
        </is>
      </c>
      <c r="G20" s="92" t="n">
        <v>-1.2368</v>
      </c>
      <c r="H20" s="92" t="n">
        <v>0.7381</v>
      </c>
    </row>
    <row r="22">
      <c r="A22" s="83" t="inlineStr">
        <is>
          <t>Diagnostic Tests</t>
        </is>
      </c>
    </row>
    <row r="23">
      <c r="A23" s="84" t="inlineStr">
        <is>
          <t>Test</t>
        </is>
      </c>
      <c r="B23" s="84" t="inlineStr">
        <is>
          <t>Statistic</t>
        </is>
      </c>
      <c r="C23" s="84" t="inlineStr">
        <is>
          <t>p-value</t>
        </is>
      </c>
      <c r="D23" s="84" t="inlineStr">
        <is>
          <t>Critical value</t>
        </is>
      </c>
      <c r="E23" s="84" t="inlineStr">
        <is>
          <t>Result</t>
        </is>
      </c>
      <c r="F23" s="84" t="inlineStr">
        <is>
          <t>Interpretation</t>
        </is>
      </c>
    </row>
    <row r="24">
      <c r="A24" s="86" t="inlineStr">
        <is>
          <t>Durbin-Watson</t>
        </is>
      </c>
      <c r="B24" s="86" t="n">
        <v>2.6427</v>
      </c>
      <c r="C24" s="86" t="inlineStr">
        <is>
          <t>—</t>
        </is>
      </c>
      <c r="D24" s="86" t="inlineStr">
        <is>
          <t>1.5–2.5 = OK</t>
        </is>
      </c>
      <c r="E24" s="93" t="inlineStr">
        <is>
          <t>CONCERN</t>
        </is>
      </c>
      <c r="F24" s="94" t="inlineStr">
        <is>
          <t>Tests for 1st-order serial correlation in residuals. Value near 2 = no autocorrelation.</t>
        </is>
      </c>
    </row>
    <row r="25">
      <c r="A25" s="89" t="inlineStr">
        <is>
          <t>Breusch-Pagan</t>
        </is>
      </c>
      <c r="B25" s="89" t="n">
        <v>0.5799</v>
      </c>
      <c r="C25" s="89" t="n">
        <v>0.4463</v>
      </c>
      <c r="D25" s="89" t="inlineStr">
        <is>
          <t>p&lt;0.05 = problem</t>
        </is>
      </c>
      <c r="E25" s="95" t="inlineStr">
        <is>
          <t>OK</t>
        </is>
      </c>
      <c r="F25" s="96" t="inlineStr">
        <is>
          <t>Tests for heteroskedasticity. Non-constant variance in residuals.</t>
        </is>
      </c>
    </row>
    <row r="26">
      <c r="A26" s="86" t="inlineStr">
        <is>
          <t>Jarque-Bera</t>
        </is>
      </c>
      <c r="B26" s="86" t="n">
        <v>0.2719</v>
      </c>
      <c r="C26" s="86" t="n">
        <v>0.8729</v>
      </c>
      <c r="D26" s="86" t="inlineStr">
        <is>
          <t>p&lt;0.05 = problem</t>
        </is>
      </c>
      <c r="E26" s="97" t="inlineStr">
        <is>
          <t>OK</t>
        </is>
      </c>
      <c r="F26" s="94" t="inlineStr">
        <is>
          <t>Tests normality of residuals. OLS standard errors assume normality.</t>
        </is>
      </c>
    </row>
    <row r="29">
      <c r="A29" s="83" t="inlineStr">
        <is>
          <t>ADF Unit Root Tests (H0: unit root = non-stationary)</t>
        </is>
      </c>
    </row>
    <row r="30">
      <c r="A30" s="84" t="inlineStr">
        <is>
          <t>Series</t>
        </is>
      </c>
      <c r="B30" s="84" t="inlineStr">
        <is>
          <t>ADF Stat</t>
        </is>
      </c>
      <c r="C30" s="84" t="inlineStr">
        <is>
          <t>p-value</t>
        </is>
      </c>
      <c r="D30" s="84" t="inlineStr">
        <is>
          <t>1% CV</t>
        </is>
      </c>
      <c r="E30" s="84" t="inlineStr">
        <is>
          <t>5% CV</t>
        </is>
      </c>
      <c r="F30" s="84" t="inlineStr">
        <is>
          <t>10% CV</t>
        </is>
      </c>
      <c r="G30" s="84" t="inlineStr">
        <is>
          <t>Stationary?</t>
        </is>
      </c>
    </row>
    <row r="31">
      <c r="A31" s="98" t="inlineStr">
        <is>
          <t>MSCI EM Annual Return (%)</t>
        </is>
      </c>
      <c r="B31" s="98" t="n">
        <v>-5.7274</v>
      </c>
      <c r="C31" s="98" t="n">
        <v>0</v>
      </c>
      <c r="D31" s="98" t="n">
        <v>-3.924</v>
      </c>
      <c r="E31" s="98" t="n">
        <v>-3.068</v>
      </c>
      <c r="F31" s="98" t="n">
        <v>-2.674</v>
      </c>
      <c r="G31" s="99" t="inlineStr">
        <is>
          <t>YES</t>
        </is>
      </c>
    </row>
    <row r="32">
      <c r="A32" s="98" t="inlineStr">
        <is>
          <t>DXY Index Level</t>
        </is>
      </c>
      <c r="B32" s="98" t="n">
        <v>-1.9392</v>
      </c>
      <c r="C32" s="98" t="n">
        <v>0.3138</v>
      </c>
      <c r="D32" s="98" t="n">
        <v>-4.332</v>
      </c>
      <c r="E32" s="98" t="n">
        <v>-3.233</v>
      </c>
      <c r="F32" s="98" t="n">
        <v>-2.749</v>
      </c>
      <c r="G32" s="100" t="inlineStr">
        <is>
          <t>NO</t>
        </is>
      </c>
    </row>
    <row r="35">
      <c r="A35" s="83" t="inlineStr">
        <is>
          <t>Descriptive Statistics</t>
        </is>
      </c>
    </row>
    <row r="36">
      <c r="A36" s="84" t="inlineStr">
        <is>
          <t>Series</t>
        </is>
      </c>
      <c r="B36" s="84" t="inlineStr">
        <is>
          <t>n</t>
        </is>
      </c>
      <c r="C36" s="84" t="inlineStr">
        <is>
          <t>Mean</t>
        </is>
      </c>
      <c r="D36" s="84" t="inlineStr">
        <is>
          <t>Median</t>
        </is>
      </c>
      <c r="E36" s="84" t="inlineStr">
        <is>
          <t>Std Dev</t>
        </is>
      </c>
      <c r="F36" s="84" t="inlineStr">
        <is>
          <t>Min</t>
        </is>
      </c>
      <c r="G36" s="84" t="inlineStr">
        <is>
          <t>Max</t>
        </is>
      </c>
      <c r="H36" s="84" t="inlineStr">
        <is>
          <t>Skewness</t>
        </is>
      </c>
      <c r="I36" s="84" t="inlineStr">
        <is>
          <t>Kurtosis</t>
        </is>
      </c>
    </row>
    <row r="37">
      <c r="A37" s="91" t="inlineStr">
        <is>
          <t>MSCI EM Annual Return (%)</t>
        </is>
      </c>
      <c r="B37" s="86" t="n">
        <v>17</v>
      </c>
      <c r="C37" s="86" t="n">
        <v>4.441</v>
      </c>
      <c r="D37" s="86" t="n">
        <v>8</v>
      </c>
      <c r="E37" s="86" t="n">
        <v>15.008</v>
      </c>
      <c r="F37" s="86" t="n">
        <v>-22</v>
      </c>
      <c r="G37" s="86" t="n">
        <v>37.3</v>
      </c>
      <c r="H37" s="86" t="n">
        <v>0.148</v>
      </c>
      <c r="I37" s="86" t="n">
        <v>-0.218</v>
      </c>
    </row>
    <row r="38">
      <c r="A38" s="91" t="inlineStr">
        <is>
          <t>DXY Index Level</t>
        </is>
      </c>
      <c r="B38" s="86" t="n">
        <v>17</v>
      </c>
      <c r="C38" s="86" t="n">
        <v>95.529</v>
      </c>
      <c r="D38" s="86" t="n">
        <v>96.5</v>
      </c>
      <c r="E38" s="86" t="n">
        <v>8.285</v>
      </c>
      <c r="F38" s="86" t="n">
        <v>79.8</v>
      </c>
      <c r="G38" s="86" t="n">
        <v>107.1</v>
      </c>
      <c r="H38" s="86" t="n">
        <v>-0.517</v>
      </c>
      <c r="I38" s="86" t="n">
        <v>-0.697</v>
      </c>
    </row>
    <row r="41">
      <c r="A41" s="83" t="inlineStr">
        <is>
          <t>Raw Data</t>
        </is>
      </c>
    </row>
    <row r="42">
      <c r="A42" s="84" t="inlineStr">
        <is>
          <t>DXY Index Level</t>
        </is>
      </c>
      <c r="B42" s="84" t="inlineStr">
        <is>
          <t>MSCI EM Annual Return (%)</t>
        </is>
      </c>
      <c r="C42" s="84" t="inlineStr">
        <is>
          <t>OLS Fitted</t>
        </is>
      </c>
      <c r="D42" s="84" t="inlineStr">
        <is>
          <t>Residual</t>
        </is>
      </c>
    </row>
    <row r="43">
      <c r="A43" s="86" t="n">
        <v>80.09999999999999</v>
      </c>
      <c r="B43" s="86" t="n">
        <v>18.2</v>
      </c>
      <c r="C43" s="91" t="n">
        <v>8.289</v>
      </c>
      <c r="D43" s="91" t="n">
        <v>9.911</v>
      </c>
    </row>
    <row r="44">
      <c r="A44" s="89" t="n">
        <v>79.8</v>
      </c>
      <c r="B44" s="89" t="n">
        <v>-2.2</v>
      </c>
      <c r="C44" s="92" t="n">
        <v>8.363</v>
      </c>
      <c r="D44" s="92" t="n">
        <v>-10.563</v>
      </c>
    </row>
    <row r="45">
      <c r="A45" s="86" t="n">
        <v>87</v>
      </c>
      <c r="B45" s="86" t="n">
        <v>8</v>
      </c>
      <c r="C45" s="91" t="n">
        <v>6.568</v>
      </c>
      <c r="D45" s="91" t="n">
        <v>1.432</v>
      </c>
    </row>
    <row r="46">
      <c r="A46" s="89" t="n">
        <v>90.3</v>
      </c>
      <c r="B46" s="89" t="n">
        <v>-4.6</v>
      </c>
      <c r="C46" s="92" t="n">
        <v>5.745</v>
      </c>
      <c r="D46" s="92" t="n">
        <v>-10.345</v>
      </c>
    </row>
    <row r="47">
      <c r="A47" s="86" t="n">
        <v>98.7</v>
      </c>
      <c r="B47" s="86" t="n">
        <v>-14.9</v>
      </c>
      <c r="C47" s="91" t="n">
        <v>3.651</v>
      </c>
      <c r="D47" s="91" t="n">
        <v>-18.551</v>
      </c>
    </row>
    <row r="48">
      <c r="A48" s="89" t="n">
        <v>91.90000000000001</v>
      </c>
      <c r="B48" s="89" t="n">
        <v>18.6</v>
      </c>
      <c r="C48" s="92" t="n">
        <v>5.346</v>
      </c>
      <c r="D48" s="92" t="n">
        <v>13.254</v>
      </c>
    </row>
    <row r="49">
      <c r="A49" s="86" t="n">
        <v>96.5</v>
      </c>
      <c r="B49" s="86" t="n">
        <v>11.6</v>
      </c>
      <c r="C49" s="91" t="n">
        <v>4.199</v>
      </c>
      <c r="D49" s="91" t="n">
        <v>7.401</v>
      </c>
    </row>
    <row r="50">
      <c r="A50" s="89" t="n">
        <v>103</v>
      </c>
      <c r="B50" s="89" t="n">
        <v>-2.2</v>
      </c>
      <c r="C50" s="92" t="n">
        <v>2.578</v>
      </c>
      <c r="D50" s="92" t="n">
        <v>-4.778</v>
      </c>
    </row>
    <row r="51">
      <c r="A51" s="86" t="n">
        <v>95.7</v>
      </c>
      <c r="B51" s="86" t="n">
        <v>37.3</v>
      </c>
      <c r="C51" s="91" t="n">
        <v>4.399</v>
      </c>
      <c r="D51" s="91" t="n">
        <v>32.901</v>
      </c>
    </row>
    <row r="52">
      <c r="A52" s="89" t="n">
        <v>99.59999999999999</v>
      </c>
      <c r="B52" s="89" t="n">
        <v>-16.6</v>
      </c>
      <c r="C52" s="92" t="n">
        <v>3.426</v>
      </c>
      <c r="D52" s="92" t="n">
        <v>-20.026</v>
      </c>
    </row>
    <row r="53">
      <c r="A53" s="86" t="n">
        <v>102.9</v>
      </c>
      <c r="B53" s="86" t="n">
        <v>18.3</v>
      </c>
      <c r="C53" s="91" t="n">
        <v>2.603</v>
      </c>
      <c r="D53" s="91" t="n">
        <v>15.697</v>
      </c>
    </row>
    <row r="54">
      <c r="A54" s="89" t="n">
        <v>89.8</v>
      </c>
      <c r="B54" s="89" t="n">
        <v>-1.8</v>
      </c>
      <c r="C54" s="92" t="n">
        <v>5.87</v>
      </c>
      <c r="D54" s="92" t="n">
        <v>-7.67</v>
      </c>
    </row>
    <row r="55">
      <c r="A55" s="86" t="n">
        <v>92.3</v>
      </c>
      <c r="B55" s="86" t="n">
        <v>-2.5</v>
      </c>
      <c r="C55" s="91" t="n">
        <v>5.246</v>
      </c>
      <c r="D55" s="91" t="n">
        <v>-7.746</v>
      </c>
    </row>
    <row r="56">
      <c r="A56" s="89" t="n">
        <v>104.6</v>
      </c>
      <c r="B56" s="89" t="n">
        <v>-22</v>
      </c>
      <c r="C56" s="92" t="n">
        <v>2.179</v>
      </c>
      <c r="D56" s="92" t="n">
        <v>-24.179</v>
      </c>
    </row>
    <row r="57">
      <c r="A57" s="86" t="n">
        <v>107.1</v>
      </c>
      <c r="B57" s="86" t="n">
        <v>9.800000000000001</v>
      </c>
      <c r="C57" s="91" t="n">
        <v>1.556</v>
      </c>
      <c r="D57" s="91" t="n">
        <v>8.244</v>
      </c>
    </row>
    <row r="58">
      <c r="A58" s="89" t="n">
        <v>104.5</v>
      </c>
      <c r="B58" s="89" t="n">
        <v>8.1</v>
      </c>
      <c r="C58" s="92" t="n">
        <v>2.204</v>
      </c>
      <c r="D58" s="92" t="n">
        <v>5.896</v>
      </c>
    </row>
    <row r="59">
      <c r="A59" s="86" t="n">
        <v>100.2</v>
      </c>
      <c r="B59" s="86" t="n">
        <v>12.4</v>
      </c>
      <c r="C59" s="91" t="n">
        <v>3.277</v>
      </c>
      <c r="D59" s="91" t="n">
        <v>9.122999999999999</v>
      </c>
    </row>
    <row r="62">
      <c r="A62" s="101" t="inlineStr">
        <is>
          <t>Source: Bloomberg, MSCI Total Return USD; ICE DXY Index annual averages</t>
        </is>
      </c>
    </row>
  </sheetData>
  <mergeCells count="1">
    <mergeCell ref="A62:F6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8" customWidth="1" style="42" min="1" max="1"/>
    <col width="18" customWidth="1" style="42" min="2" max="2"/>
    <col width="18" customWidth="1" style="42" min="3" max="3"/>
    <col width="16" customWidth="1" style="42" min="4" max="4"/>
    <col width="12" customWidth="1" style="42" min="5" max="5"/>
    <col width="18" customWidth="1" style="42" min="6" max="6"/>
    <col width="44" customWidth="1" style="42" min="7" max="7"/>
  </cols>
  <sheetData>
    <row r="1">
      <c r="A1" s="82" t="inlineStr">
        <is>
          <t>ECB vs Fed Policy Rate Differential — Implications for USD/EM</t>
        </is>
      </c>
    </row>
    <row r="2">
      <c r="A2" s="101" t="inlineStr">
        <is>
          <t>Source: ECB, Federal Reserve; MSCI EM data</t>
        </is>
      </c>
    </row>
    <row r="4">
      <c r="A4" s="102" t="inlineStr">
        <is>
          <t>Year</t>
        </is>
      </c>
      <c r="B4" s="102" t="inlineStr">
        <is>
          <t>Fed Funds Rate (%)</t>
        </is>
      </c>
      <c r="C4" s="102" t="inlineStr">
        <is>
          <t>ECB Deposit Rate (%)</t>
        </is>
      </c>
      <c r="D4" s="102" t="inlineStr">
        <is>
          <t>Rate Diff (Fed-ECB)</t>
        </is>
      </c>
      <c r="E4" s="102" t="inlineStr">
        <is>
          <t>DXY (avg)</t>
        </is>
      </c>
      <c r="F4" s="102" t="inlineStr">
        <is>
          <t>MSCI EM Return (%)</t>
        </is>
      </c>
      <c r="G4" s="102" t="inlineStr">
        <is>
          <t>Interpretation</t>
        </is>
      </c>
    </row>
    <row r="5">
      <c r="A5" s="91" t="n">
        <v>2019</v>
      </c>
      <c r="B5" s="86" t="n">
        <v>2.25</v>
      </c>
      <c r="C5" s="86" t="inlineStr">
        <is>
          <t>-0.50</t>
        </is>
      </c>
      <c r="D5" s="91" t="n">
        <v>2.75</v>
      </c>
      <c r="E5" s="91" t="n">
        <v>97.09999999999999</v>
      </c>
      <c r="F5" s="91" t="n">
        <v>18.6</v>
      </c>
      <c r="G5" s="103" t="inlineStr">
        <is>
          <t>Wide diff — USD supported, EM modest</t>
        </is>
      </c>
    </row>
    <row r="6">
      <c r="A6" s="92" t="n">
        <v>2020</v>
      </c>
      <c r="B6" s="89" t="n">
        <v>0.25</v>
      </c>
      <c r="C6" s="89" t="inlineStr">
        <is>
          <t>-0.50</t>
        </is>
      </c>
      <c r="D6" s="92" t="n">
        <v>0.75</v>
      </c>
      <c r="E6" s="92" t="n">
        <v>90.5</v>
      </c>
      <c r="F6" s="92" t="n">
        <v>18.3</v>
      </c>
      <c r="G6" s="104" t="inlineStr">
        <is>
          <t>Both near zero; USD weak — EM rally</t>
        </is>
      </c>
    </row>
    <row r="7">
      <c r="A7" s="91" t="n">
        <v>2021</v>
      </c>
      <c r="B7" s="86" t="n">
        <v>0.25</v>
      </c>
      <c r="C7" s="86" t="inlineStr">
        <is>
          <t>-0.50</t>
        </is>
      </c>
      <c r="D7" s="91" t="n">
        <v>0.75</v>
      </c>
      <c r="E7" s="91" t="n">
        <v>92.8</v>
      </c>
      <c r="F7" s="91" t="n">
        <v>-1.8</v>
      </c>
      <c r="G7" s="103" t="inlineStr">
        <is>
          <t>Inflation building; EM flat</t>
        </is>
      </c>
    </row>
    <row r="8">
      <c r="A8" s="92" t="n">
        <v>2022</v>
      </c>
      <c r="B8" s="89" t="n">
        <v>4.5</v>
      </c>
      <c r="C8" s="89" t="n">
        <v>2</v>
      </c>
      <c r="D8" s="92" t="n">
        <v>2.5</v>
      </c>
      <c r="E8" s="92" t="n">
        <v>103.2</v>
      </c>
      <c r="F8" s="92" t="n">
        <v>-22</v>
      </c>
      <c r="G8" s="104" t="inlineStr">
        <is>
          <t>Fed hikes fast; USD surges; EM hit</t>
        </is>
      </c>
    </row>
    <row r="9">
      <c r="A9" s="91" t="n">
        <v>2023</v>
      </c>
      <c r="B9" s="86" t="n">
        <v>5.5</v>
      </c>
      <c r="C9" s="86" t="n">
        <v>4</v>
      </c>
      <c r="D9" s="91" t="n">
        <v>1.5</v>
      </c>
      <c r="E9" s="91" t="n">
        <v>100.9</v>
      </c>
      <c r="F9" s="91" t="n">
        <v>9.800000000000001</v>
      </c>
      <c r="G9" s="103" t="inlineStr">
        <is>
          <t>ECB catches up; diff narrows; EM recovers</t>
        </is>
      </c>
    </row>
    <row r="10">
      <c r="A10" s="92" t="n">
        <v>2024</v>
      </c>
      <c r="B10" s="89" t="n">
        <v>5.25</v>
      </c>
      <c r="C10" s="89" t="n">
        <v>3.5</v>
      </c>
      <c r="D10" s="92" t="n">
        <v>1.75</v>
      </c>
      <c r="E10" s="92" t="n">
        <v>101.6</v>
      </c>
      <c r="F10" s="92" t="n">
        <v>8.1</v>
      </c>
      <c r="G10" s="104" t="inlineStr">
        <is>
          <t>ECB ahead of Fed in cutting</t>
        </is>
      </c>
    </row>
    <row r="11">
      <c r="A11" s="91" t="n">
        <v>2025</v>
      </c>
      <c r="B11" s="86" t="n">
        <v>4.5</v>
      </c>
      <c r="C11" s="86" t="n">
        <v>2.25</v>
      </c>
      <c r="D11" s="91" t="n">
        <v>2.25</v>
      </c>
      <c r="E11" s="91" t="n">
        <v>99.8</v>
      </c>
      <c r="F11" s="91" t="n">
        <v>12.4</v>
      </c>
      <c r="G11" s="103" t="inlineStr">
        <is>
          <t>Fed cutting; diff stays wide — USD weakens</t>
        </is>
      </c>
    </row>
    <row r="12">
      <c r="A12" s="92" t="n">
        <v>2026</v>
      </c>
      <c r="B12" s="89" t="n">
        <v>3.75</v>
      </c>
      <c r="C12" s="89" t="n">
        <v>1.75</v>
      </c>
      <c r="D12" s="92" t="n">
        <v>2</v>
      </c>
      <c r="E12" s="92" t="n">
        <v>100.2</v>
      </c>
      <c r="F12" s="92" t="inlineStr">
        <is>
          <t>N/A</t>
        </is>
      </c>
      <c r="G12" s="104" t="inlineStr">
        <is>
          <t>Projected: ECB further ahead in cycle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2026-04-01T12:50:09Z</dcterms:created>
  <dcterms:modified xmlns:dcterms="http://purl.org/dc/terms/" xmlns:xsi="http://www.w3.org/2001/XMLSchema-instance" xsi:type="dcterms:W3CDTF">2026-04-01T21:58:45Z</dcterms:modified>
  <cp:revision>0</cp:revision>
</cp:coreProperties>
</file>