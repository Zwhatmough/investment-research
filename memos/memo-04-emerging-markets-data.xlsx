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XY_MSCI_EM" sheetId="2" state="visible" r:id="rId4"/>
    <sheet name="EM_DM_Discount" sheetId="3" state="visible" r:id="rId5"/>
    <sheet name="Country_Valuations" sheetId="4" state="visible" r:id="rId6"/>
    <sheet name="Capital_Flow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<sst xmlns="http://schemas.openxmlformats.org/spreadsheetml/2006/main" count="173" uniqueCount="166">
  <si>
    <t xml:space="preserve">EMERGING MARKETS: 20-YEAR VALUATION EXTREME, TURNING DOLLAR, POSITIONING RESET — APRIL 2026</t>
  </si>
  <si>
    <t xml:space="preserve">Memo 04  |  Asset Class: EM Equities / Global Allocation  |  Signal: LONG EM vs DM (12-24 month)</t>
  </si>
  <si>
    <t xml:space="preserve">Key Metrics</t>
  </si>
  <si>
    <t xml:space="preserve">Metric</t>
  </si>
  <si>
    <t xml:space="preserve">Value</t>
  </si>
  <si>
    <t xml:space="preserve">Context</t>
  </si>
  <si>
    <t xml:space="preserve">Source</t>
  </si>
  <si>
    <t xml:space="preserve">MSCI EM fwd P/E (NTM)</t>
  </si>
  <si>
    <t xml:space="preserve">12.5x</t>
  </si>
  <si>
    <t xml:space="preserve">vs 20yr avg ~14.5x</t>
  </si>
  <si>
    <t xml:space="preserve">Bloomberg/FactSet Apr 2026</t>
  </si>
  <si>
    <t xml:space="preserve">MSCI World fwd P/E</t>
  </si>
  <si>
    <t xml:space="preserve">20.0x</t>
  </si>
  <si>
    <t xml:space="preserve">S&amp;P 500 ~21x</t>
  </si>
  <si>
    <t xml:space="preserve">EM discount to DM</t>
  </si>
  <si>
    <t xml:space="preserve">~37%</t>
  </si>
  <si>
    <t xml:space="preserve">20yr avg: ~22% discount</t>
  </si>
  <si>
    <t xml:space="preserve">Bloomberg/FactSet</t>
  </si>
  <si>
    <t xml:space="preserve">P/E re-rating upside</t>
  </si>
  <si>
    <t xml:space="preserve">~29%</t>
  </si>
  <si>
    <t xml:space="preserve">If discount reverts to 20yr avg</t>
  </si>
  <si>
    <t xml:space="preserve">Author calculation</t>
  </si>
  <si>
    <t xml:space="preserve">DXY (Apr 2026)</t>
  </si>
  <si>
    <t xml:space="preserve">~100</t>
  </si>
  <si>
    <t xml:space="preserve">Below 102 — multi-year support broken</t>
  </si>
  <si>
    <t xml:space="preserve">Bloomberg</t>
  </si>
  <si>
    <t xml:space="preserve">DXY 2022 peak</t>
  </si>
  <si>
    <t xml:space="preserve">114</t>
  </si>
  <si>
    <t xml:space="preserve">High since 2001</t>
  </si>
  <si>
    <t xml:space="preserve">Avg EM outperf post DXY peak</t>
  </si>
  <si>
    <t xml:space="preserve">~21%</t>
  </si>
  <si>
    <t xml:space="preserve">2002 and 2016 cycles, 12m USD return</t>
  </si>
  <si>
    <t xml:space="preserve">Bloomberg, MSCI</t>
  </si>
  <si>
    <t xml:space="preserve">OLS r-squared (DXY vs EM)</t>
  </si>
  <si>
    <t xml:space="preserve">0.42</t>
  </si>
  <si>
    <t xml:space="preserve">2007-2025 annual data</t>
  </si>
  <si>
    <t xml:space="preserve">Author regression</t>
  </si>
  <si>
    <t xml:space="preserve">EM net flows 2023-24</t>
  </si>
  <si>
    <t xml:space="preserve">~$28bn in</t>
  </si>
  <si>
    <t xml:space="preserve">vs ~$450bn into US equity</t>
  </si>
  <si>
    <t xml:space="preserve">EPFR Global, BofA</t>
  </si>
  <si>
    <t xml:space="preserve">China MSCI EM weight</t>
  </si>
  <si>
    <t xml:space="preserve">~27%</t>
  </si>
  <si>
    <t xml:space="preserve">Taiwan 17%, India 18%, Korea 13%</t>
  </si>
  <si>
    <t xml:space="preserve">MSCI</t>
  </si>
  <si>
    <t xml:space="preserve">EM GDP growth 2026E</t>
  </si>
  <si>
    <t xml:space="preserve">4.2%</t>
  </si>
  <si>
    <t xml:space="preserve">vs 1.8% advanced economies</t>
  </si>
  <si>
    <t xml:space="preserve">IMF WEO Apr 2026</t>
  </si>
  <si>
    <t xml:space="preserve">EM USD debt maturing 2026-27</t>
  </si>
  <si>
    <t xml:space="preserve">~$280bn</t>
  </si>
  <si>
    <t xml:space="preserve">Refinancing risk/opportunity</t>
  </si>
  <si>
    <t xml:space="preserve">JPMorgan EM Research</t>
  </si>
  <si>
    <t xml:space="preserve">Investment Thesis</t>
  </si>
  <si>
    <t xml:space="preserve">Pillar</t>
  </si>
  <si>
    <t xml:space="preserve">Summary</t>
  </si>
  <si>
    <t xml:space="preserve">1. DXY is the primary return driver</t>
  </si>
  <si>
    <t xml:space="preserve">OLS r²=0.42 (DXY vs MSCI EM, 2007-2025). 10% DXY decline = 20-25% EM USD return. Three channels: EM debt service relief, commodity price lift, capital flow rotation.</t>
  </si>
  <si>
    <t xml:space="preserve">2. 20yr valuation extreme</t>
  </si>
  <si>
    <t xml:space="preserve">37% discount vs 20yr avg of 22%. Only wider at 2008-09 and 2002-03 credit events. Both preceded multi-year EM outperformance. Reversion to avg = ~29% P/E upside alone.</t>
  </si>
  <si>
    <t xml:space="preserve">3. Positioning at multi-decade lows</t>
  </si>
  <si>
    <t xml:space="preserve">$450bn into US equity ETFs 2023-24 vs $28bn EM (EPFR). BofA FMS: record EM underweight. Rebalancing to neutral = mechanical flow support independent of fundamentals.</t>
  </si>
  <si>
    <t xml:space="preserve">4. China stimulus most comprehensive since 2016</t>
  </si>
  <si>
    <t xml:space="preserve">50bp RRR cut, property support, fiscal deficit 3.8% GDP. PMI above 50 for 3 months. China 30% of EM index. PMI 51+ for 2 months = 8-12% EM return historically.</t>
  </si>
  <si>
    <t xml:space="preserve">Watch / Exit</t>
  </si>
  <si>
    <t xml:space="preserve">Type</t>
  </si>
  <si>
    <t xml:space="preserve">Condition</t>
  </si>
  <si>
    <t xml:space="preserve">Watch (add)</t>
  </si>
  <si>
    <t xml:space="preserve">DXY break below 97 / China PMI 51+ for 2 months / EM EPS revision ratio turns positive</t>
  </si>
  <si>
    <t xml:space="preserve">Exit</t>
  </si>
  <si>
    <t xml:space="preserve">DXY rebounds above 108 on Fed pause / China property credit event / UST 10yr above 5.5%</t>
  </si>
  <si>
    <t xml:space="preserve">DXY Index vs MSCI EM Annual Return — 2007-2025  |  Source: Bloomberg, MSCI</t>
  </si>
  <si>
    <t xml:space="preserve">Year</t>
  </si>
  <si>
    <t xml:space="preserve">DXY (annual avg)</t>
  </si>
  <si>
    <t xml:space="preserve">MSCI EM Return (%)</t>
  </si>
  <si>
    <t xml:space="preserve">MSCI World Return (%)</t>
  </si>
  <si>
    <t xml:space="preserve">EM vs World Spread (%)</t>
  </si>
  <si>
    <t xml:space="preserve">Note</t>
  </si>
  <si>
    <t xml:space="preserve">EM bull run; weak USD</t>
  </si>
  <si>
    <t xml:space="preserve">GFC; both collapse</t>
  </si>
  <si>
    <t xml:space="preserve">Recovery; EM leads</t>
  </si>
  <si>
    <t xml:space="preserve">Weak USD supports EM</t>
  </si>
  <si>
    <t xml:space="preserve">Euro crisis; EM hurt more</t>
  </si>
  <si>
    <t xml:space="preserve">Taper tantrum; EM crushed</t>
  </si>
  <si>
    <t xml:space="preserve">USD surge begins</t>
  </si>
  <si>
    <t xml:space="preserve">DXY surge; EM falls</t>
  </si>
  <si>
    <t xml:space="preserve">DXY weakens late-year</t>
  </si>
  <si>
    <t xml:space="preserve">Best year for EM since 2009</t>
  </si>
  <si>
    <t xml:space="preserve">Trade war; EM harder hit</t>
  </si>
  <si>
    <t xml:space="preserve">DM outperforms late-cycle</t>
  </si>
  <si>
    <t xml:space="preserve">COVID recovery</t>
  </si>
  <si>
    <t xml:space="preserve">EM disappoints despite growth</t>
  </si>
  <si>
    <t xml:space="preserve">Fed hikes; DXY surges</t>
  </si>
  <si>
    <t xml:space="preserve">US tech boom; EM lags</t>
  </si>
  <si>
    <t xml:space="preserve">AI/ET demand; USD resilient</t>
  </si>
  <si>
    <t xml:space="preserve">ESTIMATE — DXY breaking lower</t>
  </si>
  <si>
    <t xml:space="preserve">OLS Regression output:</t>
  </si>
  <si>
    <t xml:space="preserve">Slope:</t>
  </si>
  <si>
    <t xml:space="preserve">-2.8</t>
  </si>
  <si>
    <t xml:space="preserve">R-squared:</t>
  </si>
  <si>
    <t xml:space="preserve">Interpretation: 1pt rise in DXY = ~2.8% headwind to MSCI EM return</t>
  </si>
  <si>
    <t xml:space="preserve">MSCI EM vs MSCI World: Forward P/E Discount History (2004-2026)  |  Source: Bloomberg, FactSet</t>
  </si>
  <si>
    <t xml:space="preserve">MSCI EM Fwd P/E</t>
  </si>
  <si>
    <t xml:space="preserve">MSCI World Fwd P/E</t>
  </si>
  <si>
    <t xml:space="preserve">EM Discount (%)</t>
  </si>
  <si>
    <t xml:space="preserve">20yr Avg Discount (%)</t>
  </si>
  <si>
    <t xml:space="preserve">EM premium at cycle peak</t>
  </si>
  <si>
    <t xml:space="preserve">GFC — both cheap</t>
  </si>
  <si>
    <t xml:space="preserve">Recovery; EM cheaper</t>
  </si>
  <si>
    <t xml:space="preserve">Discount widens on Euro crisis</t>
  </si>
  <si>
    <t xml:space="preserve">Taper tantrum widens discount</t>
  </si>
  <si>
    <t xml:space="preserve">Discount near extreme</t>
  </si>
  <si>
    <t xml:space="preserve">EM re-rates; discount narrows</t>
  </si>
  <si>
    <t xml:space="preserve">COVID stimulus inflates DM P/E</t>
  </si>
  <si>
    <t xml:space="preserve">Discount widens again</t>
  </si>
  <si>
    <t xml:space="preserve">Rate hike shock — both fall</t>
  </si>
  <si>
    <t xml:space="preserve">US tech re-rates DM up</t>
  </si>
  <si>
    <t xml:space="preserve">Current near-extreme discount</t>
  </si>
  <si>
    <t xml:space="preserve">ESTIMATE — partial re-rating</t>
  </si>
  <si>
    <t xml:space="preserve">ESTIMATE — continued re-rating</t>
  </si>
  <si>
    <t xml:space="preserve">Re-rating upside calculation:</t>
  </si>
  <si>
    <t xml:space="preserve">If discount reverts from current to 20yr avg:</t>
  </si>
  <si>
    <t xml:space="preserve">(EM P/E upside, holding DM constant)</t>
  </si>
  <si>
    <t xml:space="preserve">MSCI EM Country Valuations — April 2026  |  Source: Bloomberg, FactSet, MSCI</t>
  </si>
  <si>
    <t xml:space="preserve">Country</t>
  </si>
  <si>
    <t xml:space="preserve">MSCI EM Weight</t>
  </si>
  <si>
    <t xml:space="preserve">NTM P/E</t>
  </si>
  <si>
    <t xml:space="preserve">5yr Avg P/E</t>
  </si>
  <si>
    <t xml:space="preserve">P/E vs 5yr (%)</t>
  </si>
  <si>
    <t xml:space="preserve">Fwd EPS Growth (%)</t>
  </si>
  <si>
    <t xml:space="preserve">Investment angle</t>
  </si>
  <si>
    <t xml:space="preserve">China</t>
  </si>
  <si>
    <t xml:space="preserve">Cheap; policy tail; property risk</t>
  </si>
  <si>
    <t xml:space="preserve">Taiwan</t>
  </si>
  <si>
    <t xml:space="preserve">Tech cycle; AI supply chain; TSMC</t>
  </si>
  <si>
    <t xml:space="preserve">India</t>
  </si>
  <si>
    <t xml:space="preserve">Premium multiple; structural growth 6-7% GDP</t>
  </si>
  <si>
    <t xml:space="preserve">South Korea</t>
  </si>
  <si>
    <t xml:space="preserve">Discount to history; semis; Samsung/SK Hynix</t>
  </si>
  <si>
    <t xml:space="preserve">Brazil</t>
  </si>
  <si>
    <t xml:space="preserve">Cheap; commodity-linked; political risk</t>
  </si>
  <si>
    <t xml:space="preserve">Saudi Arabia</t>
  </si>
  <si>
    <t xml:space="preserve">Oil-linked; Vision 2030 capex</t>
  </si>
  <si>
    <t xml:space="preserve">Indonesia</t>
  </si>
  <si>
    <t xml:space="preserve">Commodity exporter; growing domestic demand</t>
  </si>
  <si>
    <t xml:space="preserve">Mexico</t>
  </si>
  <si>
    <t xml:space="preserve">Near-shoring beneficiary; political risk</t>
  </si>
  <si>
    <t xml:space="preserve">South Africa</t>
  </si>
  <si>
    <t xml:space="preserve">Deeply cheap; power/political constraints</t>
  </si>
  <si>
    <t xml:space="preserve">Thailand</t>
  </si>
  <si>
    <t xml:space="preserve">Tourism recovery; baht sensitivity</t>
  </si>
  <si>
    <t xml:space="preserve">MSCI EM (index)</t>
  </si>
  <si>
    <t xml:space="preserve">Net ETF Flows: EM vs US Equities (USD bn)  |  Source: EPFR Global, BofA Global Research</t>
  </si>
  <si>
    <t xml:space="preserve">US Equity Net Flows ($bn)</t>
  </si>
  <si>
    <t xml:space="preserve">EM Equity Net Flows ($bn)</t>
  </si>
  <si>
    <t xml:space="preserve">Ratio (US/EM)</t>
  </si>
  <si>
    <t xml:space="preserve">Relatively balanced</t>
  </si>
  <si>
    <t xml:space="preserve">COVID; US outperforms</t>
  </si>
  <si>
    <t xml:space="preserve">US tech bull; EM ignored</t>
  </si>
  <si>
    <t xml:space="preserve">EM outflows on rate shock</t>
  </si>
  <si>
    <t xml:space="preserve">US AI theme begins</t>
  </si>
  <si>
    <t xml:space="preserve">Record US inflows; EM trickle</t>
  </si>
  <si>
    <t xml:space="preserve">ESTIMATE — rotation beginning</t>
  </si>
  <si>
    <t xml:space="preserve">2023-24 total US flows:</t>
  </si>
  <si>
    <t xml:space="preserve">2023-24 total EM flows:</t>
  </si>
  <si>
    <t xml:space="preserve">Implication: EM at record underweight vs US — reversal trade when macro turns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</si>
</sst>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\%"/>
    <numFmt numFmtId="167" formatCode="0.0%"/>
    <numFmt numFmtId="168" formatCode="\$#,##0"/>
    <numFmt numFmtId="169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i val="true"/>
      <sz val="8"/>
      <color rgb="FFC0392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3C"/>
        <bgColor rgb="FF1A3A5C"/>
      </patternFill>
    </fill>
    <fill>
      <patternFill patternType="solid">
        <fgColor rgb="FF1A3A5C"/>
        <bgColor rgb="FF0D1F3C"/>
      </patternFill>
    </fill>
    <fill>
      <patternFill patternType="solid">
        <fgColor rgb="FF1E6FA8"/>
        <bgColor rgb="FF008080"/>
      </patternFill>
    </fill>
    <fill>
      <patternFill patternType="solid">
        <fgColor rgb="FFEBF5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5FB"/>
      <rgbColor rgb="FF660066"/>
      <rgbColor rgb="FFFF8080"/>
      <rgbColor rgb="FF1E6FA8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339966"/>
      <rgbColor rgb="FF003300"/>
      <rgbColor rgb="FF333300"/>
      <rgbColor rgb="FFC0392B"/>
      <rgbColor rgb="FF993366"/>
      <rgbColor rgb="FF333399"/>
      <rgbColor rgb="FF0D1F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22"/>
  </cols>
  <sheetData>
    <row r="1" customFormat="false" ht="21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true" outlineLevel="0" collapsed="false">
      <c r="A6" s="5" t="s">
        <v>7</v>
      </c>
      <c r="B6" s="6" t="s">
        <v>8</v>
      </c>
      <c r="C6" s="7" t="s">
        <v>9</v>
      </c>
      <c r="D6" s="7" t="s">
        <v>10</v>
      </c>
    </row>
    <row r="7" customFormat="false" ht="15" hidden="false" customHeight="true" outlineLevel="0" collapsed="false">
      <c r="A7" s="5" t="s">
        <v>11</v>
      </c>
      <c r="B7" s="6" t="s">
        <v>12</v>
      </c>
      <c r="C7" s="7" t="s">
        <v>13</v>
      </c>
      <c r="D7" s="7" t="s">
        <v>10</v>
      </c>
    </row>
    <row r="8" customFormat="false" ht="15" hidden="false" customHeight="true" outlineLevel="0" collapsed="false">
      <c r="A8" s="5" t="s">
        <v>14</v>
      </c>
      <c r="B8" s="6" t="s">
        <v>15</v>
      </c>
      <c r="C8" s="7" t="s">
        <v>16</v>
      </c>
      <c r="D8" s="7" t="s">
        <v>17</v>
      </c>
    </row>
    <row r="9" customFormat="false" ht="15" hidden="false" customHeight="true" outlineLevel="0" collapsed="false">
      <c r="A9" s="5" t="s">
        <v>18</v>
      </c>
      <c r="B9" s="6" t="s">
        <v>19</v>
      </c>
      <c r="C9" s="7" t="s">
        <v>20</v>
      </c>
      <c r="D9" s="7" t="s">
        <v>21</v>
      </c>
    </row>
    <row r="10" customFormat="false" ht="15" hidden="false" customHeight="true" outlineLevel="0" collapsed="false">
      <c r="A10" s="5" t="s">
        <v>22</v>
      </c>
      <c r="B10" s="6" t="s">
        <v>23</v>
      </c>
      <c r="C10" s="7" t="s">
        <v>24</v>
      </c>
      <c r="D10" s="7" t="s">
        <v>25</v>
      </c>
    </row>
    <row r="11" customFormat="false" ht="15" hidden="false" customHeight="true" outlineLevel="0" collapsed="false">
      <c r="A11" s="5" t="s">
        <v>26</v>
      </c>
      <c r="B11" s="6" t="s">
        <v>27</v>
      </c>
      <c r="C11" s="7" t="s">
        <v>28</v>
      </c>
      <c r="D11" s="7" t="s">
        <v>25</v>
      </c>
    </row>
    <row r="12" customFormat="false" ht="15" hidden="false" customHeight="true" outlineLevel="0" collapsed="false">
      <c r="A12" s="5" t="s">
        <v>29</v>
      </c>
      <c r="B12" s="6" t="s">
        <v>30</v>
      </c>
      <c r="C12" s="7" t="s">
        <v>31</v>
      </c>
      <c r="D12" s="7" t="s">
        <v>32</v>
      </c>
    </row>
    <row r="13" customFormat="false" ht="15" hidden="false" customHeight="true" outlineLevel="0" collapsed="false">
      <c r="A13" s="5" t="s">
        <v>33</v>
      </c>
      <c r="B13" s="6" t="s">
        <v>34</v>
      </c>
      <c r="C13" s="7" t="s">
        <v>35</v>
      </c>
      <c r="D13" s="7" t="s">
        <v>36</v>
      </c>
    </row>
    <row r="14" customFormat="false" ht="15" hidden="false" customHeight="true" outlineLevel="0" collapsed="false">
      <c r="A14" s="5" t="s">
        <v>37</v>
      </c>
      <c r="B14" s="6" t="s">
        <v>38</v>
      </c>
      <c r="C14" s="7" t="s">
        <v>39</v>
      </c>
      <c r="D14" s="7" t="s">
        <v>40</v>
      </c>
    </row>
    <row r="15" customFormat="false" ht="15" hidden="false" customHeight="true" outlineLevel="0" collapsed="false">
      <c r="A15" s="5" t="s">
        <v>41</v>
      </c>
      <c r="B15" s="6" t="s">
        <v>42</v>
      </c>
      <c r="C15" s="7" t="s">
        <v>43</v>
      </c>
      <c r="D15" s="7" t="s">
        <v>44</v>
      </c>
    </row>
    <row r="16" customFormat="false" ht="15" hidden="false" customHeight="true" outlineLevel="0" collapsed="false">
      <c r="A16" s="5" t="s">
        <v>45</v>
      </c>
      <c r="B16" s="6" t="s">
        <v>46</v>
      </c>
      <c r="C16" s="7" t="s">
        <v>47</v>
      </c>
      <c r="D16" s="7" t="s">
        <v>48</v>
      </c>
    </row>
    <row r="17" customFormat="false" ht="15" hidden="false" customHeight="true" outlineLevel="0" collapsed="false">
      <c r="A17" s="5" t="s">
        <v>49</v>
      </c>
      <c r="B17" s="6" t="s">
        <v>50</v>
      </c>
      <c r="C17" s="7" t="s">
        <v>51</v>
      </c>
      <c r="D17" s="7" t="s">
        <v>52</v>
      </c>
    </row>
    <row r="19" customFormat="false" ht="15" hidden="false" customHeight="false" outlineLevel="0" collapsed="false">
      <c r="A19" s="3" t="s">
        <v>53</v>
      </c>
    </row>
    <row r="20" customFormat="false" ht="15" hidden="false" customHeight="false" outlineLevel="0" collapsed="false">
      <c r="A20" s="4" t="s">
        <v>54</v>
      </c>
      <c r="B20" s="4" t="s">
        <v>55</v>
      </c>
    </row>
    <row r="21" customFormat="false" ht="30" hidden="false" customHeight="true" outlineLevel="0" collapsed="false">
      <c r="A21" s="8" t="s">
        <v>56</v>
      </c>
      <c r="B21" s="9" t="s">
        <v>57</v>
      </c>
    </row>
    <row r="22" customFormat="false" ht="30" hidden="false" customHeight="true" outlineLevel="0" collapsed="false">
      <c r="A22" s="8" t="s">
        <v>58</v>
      </c>
      <c r="B22" s="9" t="s">
        <v>59</v>
      </c>
    </row>
    <row r="23" customFormat="false" ht="30" hidden="false" customHeight="true" outlineLevel="0" collapsed="false">
      <c r="A23" s="8" t="s">
        <v>60</v>
      </c>
      <c r="B23" s="9" t="s">
        <v>61</v>
      </c>
    </row>
    <row r="24" customFormat="false" ht="30" hidden="false" customHeight="true" outlineLevel="0" collapsed="false">
      <c r="A24" s="8" t="s">
        <v>62</v>
      </c>
      <c r="B24" s="9" t="s">
        <v>63</v>
      </c>
    </row>
    <row r="26" customFormat="false" ht="15" hidden="false" customHeight="false" outlineLevel="0" collapsed="false">
      <c r="A26" s="3" t="s">
        <v>64</v>
      </c>
    </row>
    <row r="27" customFormat="false" ht="15" hidden="false" customHeight="false" outlineLevel="0" collapsed="false">
      <c r="A27" s="4" t="s">
        <v>65</v>
      </c>
      <c r="B27" s="4" t="s">
        <v>66</v>
      </c>
    </row>
    <row r="28" customFormat="false" ht="18" hidden="false" customHeight="true" outlineLevel="0" collapsed="false">
      <c r="A28" s="8" t="s">
        <v>67</v>
      </c>
      <c r="B28" s="10" t="s">
        <v>68</v>
      </c>
    </row>
    <row r="29" customFormat="false" ht="18" hidden="false" customHeight="true" outlineLevel="0" collapsed="false">
      <c r="A29" s="8" t="s">
        <v>69</v>
      </c>
      <c r="B29" s="10" t="s">
        <v>70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18" hidden="false" customHeight="true" outlineLevel="0" collapsed="false">
      <c r="A1" s="11" t="s">
        <v>71</v>
      </c>
      <c r="B1" s="11"/>
      <c r="C1" s="11"/>
      <c r="D1" s="11"/>
      <c r="E1" s="11"/>
      <c r="F1" s="11"/>
    </row>
    <row r="2" customFormat="false" ht="15" hidden="false" customHeight="false" outlineLevel="0" collapsed="false">
      <c r="A2" s="12" t="s">
        <v>72</v>
      </c>
      <c r="B2" s="12" t="s">
        <v>73</v>
      </c>
      <c r="C2" s="12" t="s">
        <v>74</v>
      </c>
      <c r="D2" s="12" t="s">
        <v>75</v>
      </c>
      <c r="E2" s="12" t="s">
        <v>76</v>
      </c>
      <c r="F2" s="12" t="s">
        <v>77</v>
      </c>
    </row>
    <row r="3" customFormat="false" ht="15" hidden="false" customHeight="false" outlineLevel="0" collapsed="false">
      <c r="A3" s="13" t="n">
        <v>2007</v>
      </c>
      <c r="B3" s="14" t="n">
        <v>76.8</v>
      </c>
      <c r="C3" s="14" t="n">
        <v>39.8</v>
      </c>
      <c r="D3" s="14" t="n">
        <v>9</v>
      </c>
      <c r="E3" s="15" t="n">
        <f aca="false">C3-D3</f>
        <v>30.8</v>
      </c>
      <c r="F3" s="7" t="s">
        <v>78</v>
      </c>
    </row>
    <row r="4" customFormat="false" ht="15" hidden="false" customHeight="false" outlineLevel="0" collapsed="false">
      <c r="A4" s="13" t="n">
        <v>2008</v>
      </c>
      <c r="B4" s="14" t="n">
        <v>80.1</v>
      </c>
      <c r="C4" s="14" t="n">
        <v>-53.2</v>
      </c>
      <c r="D4" s="14" t="n">
        <v>-40.7</v>
      </c>
      <c r="E4" s="15" t="n">
        <f aca="false">C4-D4</f>
        <v>-12.5</v>
      </c>
      <c r="F4" s="7" t="s">
        <v>79</v>
      </c>
    </row>
    <row r="5" customFormat="false" ht="15" hidden="false" customHeight="false" outlineLevel="0" collapsed="false">
      <c r="A5" s="13" t="n">
        <v>2009</v>
      </c>
      <c r="B5" s="14" t="n">
        <v>79.8</v>
      </c>
      <c r="C5" s="14" t="n">
        <v>78.5</v>
      </c>
      <c r="D5" s="14" t="n">
        <v>30</v>
      </c>
      <c r="E5" s="15" t="n">
        <f aca="false">C5-D5</f>
        <v>48.5</v>
      </c>
      <c r="F5" s="7" t="s">
        <v>80</v>
      </c>
    </row>
    <row r="6" customFormat="false" ht="15" hidden="false" customHeight="false" outlineLevel="0" collapsed="false">
      <c r="A6" s="13" t="n">
        <v>2010</v>
      </c>
      <c r="B6" s="14" t="n">
        <v>78.5</v>
      </c>
      <c r="C6" s="14" t="n">
        <v>18.2</v>
      </c>
      <c r="D6" s="14" t="n">
        <v>12.3</v>
      </c>
      <c r="E6" s="15" t="n">
        <f aca="false">C6-D6</f>
        <v>5.9</v>
      </c>
      <c r="F6" s="7" t="s">
        <v>81</v>
      </c>
    </row>
    <row r="7" customFormat="false" ht="15" hidden="false" customHeight="false" outlineLevel="0" collapsed="false">
      <c r="A7" s="13" t="n">
        <v>2011</v>
      </c>
      <c r="B7" s="14" t="n">
        <v>80.1</v>
      </c>
      <c r="C7" s="14" t="n">
        <v>-18.4</v>
      </c>
      <c r="D7" s="14" t="n">
        <v>-5.5</v>
      </c>
      <c r="E7" s="15" t="n">
        <f aca="false">C7-D7</f>
        <v>-12.9</v>
      </c>
      <c r="F7" s="7" t="s">
        <v>82</v>
      </c>
    </row>
    <row r="8" customFormat="false" ht="15" hidden="false" customHeight="false" outlineLevel="0" collapsed="false">
      <c r="A8" s="13" t="n">
        <v>2012</v>
      </c>
      <c r="B8" s="14" t="n">
        <v>80.1</v>
      </c>
      <c r="C8" s="14" t="n">
        <v>18.2</v>
      </c>
      <c r="D8" s="14" t="n">
        <v>16.5</v>
      </c>
      <c r="E8" s="15" t="n">
        <f aca="false">C8-D8</f>
        <v>1.7</v>
      </c>
      <c r="F8" s="7"/>
    </row>
    <row r="9" customFormat="false" ht="15" hidden="false" customHeight="false" outlineLevel="0" collapsed="false">
      <c r="A9" s="13" t="n">
        <v>2013</v>
      </c>
      <c r="B9" s="14" t="n">
        <v>81.5</v>
      </c>
      <c r="C9" s="14" t="n">
        <v>-2.6</v>
      </c>
      <c r="D9" s="14" t="n">
        <v>27.4</v>
      </c>
      <c r="E9" s="15" t="n">
        <f aca="false">C9-D9</f>
        <v>-30</v>
      </c>
      <c r="F9" s="7" t="s">
        <v>83</v>
      </c>
    </row>
    <row r="10" customFormat="false" ht="15" hidden="false" customHeight="false" outlineLevel="0" collapsed="false">
      <c r="A10" s="13" t="n">
        <v>2014</v>
      </c>
      <c r="B10" s="14" t="n">
        <v>87</v>
      </c>
      <c r="C10" s="14" t="n">
        <v>-2.2</v>
      </c>
      <c r="D10" s="14" t="n">
        <v>5.5</v>
      </c>
      <c r="E10" s="15" t="n">
        <f aca="false">C10-D10</f>
        <v>-7.7</v>
      </c>
      <c r="F10" s="7" t="s">
        <v>84</v>
      </c>
    </row>
    <row r="11" customFormat="false" ht="15" hidden="false" customHeight="false" outlineLevel="0" collapsed="false">
      <c r="A11" s="13" t="n">
        <v>2015</v>
      </c>
      <c r="B11" s="14" t="n">
        <v>90.3</v>
      </c>
      <c r="C11" s="14" t="n">
        <v>-14.9</v>
      </c>
      <c r="D11" s="14" t="n">
        <v>-0.3</v>
      </c>
      <c r="E11" s="15" t="n">
        <f aca="false">C11-D11</f>
        <v>-14.6</v>
      </c>
      <c r="F11" s="7" t="s">
        <v>85</v>
      </c>
    </row>
    <row r="12" customFormat="false" ht="15" hidden="false" customHeight="false" outlineLevel="0" collapsed="false">
      <c r="A12" s="13" t="n">
        <v>2016</v>
      </c>
      <c r="B12" s="14" t="n">
        <v>98.7</v>
      </c>
      <c r="C12" s="14" t="n">
        <v>11.6</v>
      </c>
      <c r="D12" s="14" t="n">
        <v>8.2</v>
      </c>
      <c r="E12" s="15" t="n">
        <f aca="false">C12-D12</f>
        <v>3.4</v>
      </c>
      <c r="F12" s="7" t="s">
        <v>86</v>
      </c>
    </row>
    <row r="13" customFormat="false" ht="15" hidden="false" customHeight="false" outlineLevel="0" collapsed="false">
      <c r="A13" s="13" t="n">
        <v>2017</v>
      </c>
      <c r="B13" s="14" t="n">
        <v>100.5</v>
      </c>
      <c r="C13" s="14" t="n">
        <v>37.3</v>
      </c>
      <c r="D13" s="14" t="n">
        <v>23.1</v>
      </c>
      <c r="E13" s="15" t="n">
        <f aca="false">C13-D13</f>
        <v>14.2</v>
      </c>
      <c r="F13" s="7" t="s">
        <v>87</v>
      </c>
    </row>
    <row r="14" customFormat="false" ht="15" hidden="false" customHeight="false" outlineLevel="0" collapsed="false">
      <c r="A14" s="13" t="n">
        <v>2018</v>
      </c>
      <c r="B14" s="14" t="n">
        <v>91.9</v>
      </c>
      <c r="C14" s="14" t="n">
        <v>-14.6</v>
      </c>
      <c r="D14" s="14" t="n">
        <v>-8.2</v>
      </c>
      <c r="E14" s="15" t="n">
        <f aca="false">C14-D14</f>
        <v>-6.4</v>
      </c>
      <c r="F14" s="7" t="s">
        <v>88</v>
      </c>
    </row>
    <row r="15" customFormat="false" ht="15" hidden="false" customHeight="false" outlineLevel="0" collapsed="false">
      <c r="A15" s="13" t="n">
        <v>2019</v>
      </c>
      <c r="B15" s="14" t="n">
        <v>96.5</v>
      </c>
      <c r="C15" s="14" t="n">
        <v>18.6</v>
      </c>
      <c r="D15" s="14" t="n">
        <v>28.4</v>
      </c>
      <c r="E15" s="15" t="n">
        <f aca="false">C15-D15</f>
        <v>-9.8</v>
      </c>
      <c r="F15" s="7" t="s">
        <v>89</v>
      </c>
    </row>
    <row r="16" customFormat="false" ht="15" hidden="false" customHeight="false" outlineLevel="0" collapsed="false">
      <c r="A16" s="13" t="n">
        <v>2020</v>
      </c>
      <c r="B16" s="14" t="n">
        <v>97.2</v>
      </c>
      <c r="C16" s="14" t="n">
        <v>18.3</v>
      </c>
      <c r="D16" s="14" t="n">
        <v>16.8</v>
      </c>
      <c r="E16" s="15" t="n">
        <f aca="false">C16-D16</f>
        <v>1.5</v>
      </c>
      <c r="F16" s="7" t="s">
        <v>90</v>
      </c>
    </row>
    <row r="17" customFormat="false" ht="15" hidden="false" customHeight="false" outlineLevel="0" collapsed="false">
      <c r="A17" s="13" t="n">
        <v>2021</v>
      </c>
      <c r="B17" s="14" t="n">
        <v>90</v>
      </c>
      <c r="C17" s="14" t="n">
        <v>-2.5</v>
      </c>
      <c r="D17" s="14" t="n">
        <v>22.4</v>
      </c>
      <c r="E17" s="15" t="n">
        <f aca="false">C17-D17</f>
        <v>-24.9</v>
      </c>
      <c r="F17" s="7" t="s">
        <v>91</v>
      </c>
    </row>
    <row r="18" customFormat="false" ht="15" hidden="false" customHeight="false" outlineLevel="0" collapsed="false">
      <c r="A18" s="13" t="n">
        <v>2022</v>
      </c>
      <c r="B18" s="14" t="n">
        <v>102.9</v>
      </c>
      <c r="C18" s="14" t="n">
        <v>-22</v>
      </c>
      <c r="D18" s="14" t="n">
        <v>-17.7</v>
      </c>
      <c r="E18" s="15" t="n">
        <f aca="false">C18-D18</f>
        <v>-4.3</v>
      </c>
      <c r="F18" s="7" t="s">
        <v>92</v>
      </c>
    </row>
    <row r="19" customFormat="false" ht="15" hidden="false" customHeight="false" outlineLevel="0" collapsed="false">
      <c r="A19" s="13" t="n">
        <v>2023</v>
      </c>
      <c r="B19" s="14" t="n">
        <v>104.6</v>
      </c>
      <c r="C19" s="14" t="n">
        <v>9.8</v>
      </c>
      <c r="D19" s="14" t="n">
        <v>24.2</v>
      </c>
      <c r="E19" s="15" t="n">
        <f aca="false">C19-D19</f>
        <v>-14.4</v>
      </c>
      <c r="F19" s="7" t="s">
        <v>93</v>
      </c>
    </row>
    <row r="20" customFormat="false" ht="15" hidden="false" customHeight="false" outlineLevel="0" collapsed="false">
      <c r="A20" s="13" t="n">
        <v>2024</v>
      </c>
      <c r="B20" s="14" t="n">
        <v>104.5</v>
      </c>
      <c r="C20" s="14" t="n">
        <v>8.1</v>
      </c>
      <c r="D20" s="14" t="n">
        <v>20.1</v>
      </c>
      <c r="E20" s="15" t="n">
        <f aca="false">C20-D20</f>
        <v>-12</v>
      </c>
      <c r="F20" s="7" t="s">
        <v>94</v>
      </c>
    </row>
    <row r="21" customFormat="false" ht="15" hidden="false" customHeight="false" outlineLevel="0" collapsed="false">
      <c r="A21" s="16" t="n">
        <v>2025</v>
      </c>
      <c r="B21" s="17" t="n">
        <v>101.2</v>
      </c>
      <c r="C21" s="17" t="n">
        <v>6.2</v>
      </c>
      <c r="D21" s="17" t="n">
        <v>5.8</v>
      </c>
      <c r="E21" s="18" t="n">
        <f aca="false">C21-D21</f>
        <v>0.4</v>
      </c>
      <c r="F21" s="19" t="s">
        <v>95</v>
      </c>
    </row>
    <row r="23" customFormat="false" ht="15" hidden="false" customHeight="false" outlineLevel="0" collapsed="false">
      <c r="A23" s="20" t="s">
        <v>96</v>
      </c>
      <c r="B23" s="21" t="s">
        <v>97</v>
      </c>
      <c r="C23" s="22" t="s">
        <v>98</v>
      </c>
      <c r="D23" s="21" t="s">
        <v>99</v>
      </c>
      <c r="E23" s="23" t="s">
        <v>34</v>
      </c>
      <c r="F23" s="24" t="s">
        <v>100</v>
      </c>
    </row>
    <row r="24" customFormat="false" ht="15" hidden="false" customHeight="false" outlineLevel="0" collapsed="false">
      <c r="F24" s="24"/>
    </row>
  </sheetData>
  <mergeCells count="2">
    <mergeCell ref="A1:F1"/>
    <mergeCell ref="F23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8" hidden="false" customHeight="true" outlineLevel="0" collapsed="false">
      <c r="A1" s="11" t="s">
        <v>101</v>
      </c>
      <c r="B1" s="11"/>
      <c r="C1" s="11"/>
      <c r="D1" s="11"/>
      <c r="E1" s="11"/>
      <c r="F1" s="11"/>
    </row>
    <row r="2" customFormat="false" ht="15" hidden="false" customHeight="false" outlineLevel="0" collapsed="false">
      <c r="A2" s="12" t="s">
        <v>72</v>
      </c>
      <c r="B2" s="12" t="s">
        <v>102</v>
      </c>
      <c r="C2" s="12" t="s">
        <v>103</v>
      </c>
      <c r="D2" s="12" t="s">
        <v>104</v>
      </c>
      <c r="E2" s="12" t="s">
        <v>105</v>
      </c>
      <c r="F2" s="12" t="s">
        <v>77</v>
      </c>
    </row>
    <row r="3" customFormat="false" ht="15" hidden="false" customHeight="false" outlineLevel="0" collapsed="false">
      <c r="A3" s="13" t="n">
        <v>2004</v>
      </c>
      <c r="B3" s="14" t="n">
        <v>12.1</v>
      </c>
      <c r="C3" s="14" t="n">
        <v>16.2</v>
      </c>
      <c r="D3" s="25" t="n">
        <f aca="false">(B3-C3)/C3</f>
        <v>-0.253086419753086</v>
      </c>
      <c r="E3" s="25" t="n">
        <f aca="false">AVERAGE($D$3)</f>
        <v>-0.253086419753086</v>
      </c>
      <c r="F3" s="7"/>
    </row>
    <row r="4" customFormat="false" ht="15" hidden="false" customHeight="false" outlineLevel="0" collapsed="false">
      <c r="A4" s="13" t="n">
        <v>2005</v>
      </c>
      <c r="B4" s="14" t="n">
        <v>11.8</v>
      </c>
      <c r="C4" s="14" t="n">
        <v>15.8</v>
      </c>
      <c r="D4" s="25" t="n">
        <f aca="false">(B4-C4)/C4</f>
        <v>-0.253164556962025</v>
      </c>
      <c r="E4" s="25" t="n">
        <f aca="false">AVERAGE($D$3:$D$4)</f>
        <v>-0.253125488357556</v>
      </c>
      <c r="F4" s="7"/>
    </row>
    <row r="5" customFormat="false" ht="15" hidden="false" customHeight="false" outlineLevel="0" collapsed="false">
      <c r="A5" s="13" t="n">
        <v>2006</v>
      </c>
      <c r="B5" s="14" t="n">
        <v>13.5</v>
      </c>
      <c r="C5" s="14" t="n">
        <v>16.5</v>
      </c>
      <c r="D5" s="25" t="n">
        <f aca="false">(B5-C5)/C5</f>
        <v>-0.181818181818182</v>
      </c>
      <c r="E5" s="25" t="n">
        <f aca="false">AVERAGE($D$3:$D$5)</f>
        <v>-0.229356386177765</v>
      </c>
      <c r="F5" s="7"/>
    </row>
    <row r="6" customFormat="false" ht="15" hidden="false" customHeight="false" outlineLevel="0" collapsed="false">
      <c r="A6" s="13" t="n">
        <v>2007</v>
      </c>
      <c r="B6" s="14" t="n">
        <v>16.8</v>
      </c>
      <c r="C6" s="14" t="n">
        <v>17.2</v>
      </c>
      <c r="D6" s="25" t="n">
        <f aca="false">(B6-C6)/C6</f>
        <v>-0.0232558139534883</v>
      </c>
      <c r="E6" s="25" t="n">
        <f aca="false">AVERAGE($D$3:$D$6)</f>
        <v>-0.177831243121695</v>
      </c>
      <c r="F6" s="7" t="s">
        <v>106</v>
      </c>
    </row>
    <row r="7" customFormat="false" ht="15" hidden="false" customHeight="false" outlineLevel="0" collapsed="false">
      <c r="A7" s="13" t="n">
        <v>2008</v>
      </c>
      <c r="B7" s="14" t="n">
        <v>7.2</v>
      </c>
      <c r="C7" s="14" t="n">
        <v>10.5</v>
      </c>
      <c r="D7" s="25" t="n">
        <f aca="false">(B7-C7)/C7</f>
        <v>-0.314285714285714</v>
      </c>
      <c r="E7" s="25" t="n">
        <f aca="false">AVERAGE($D$3:$D$7)</f>
        <v>-0.205122137354499</v>
      </c>
      <c r="F7" s="7" t="s">
        <v>107</v>
      </c>
    </row>
    <row r="8" customFormat="false" ht="15" hidden="false" customHeight="false" outlineLevel="0" collapsed="false">
      <c r="A8" s="13" t="n">
        <v>2009</v>
      </c>
      <c r="B8" s="14" t="n">
        <v>13.2</v>
      </c>
      <c r="C8" s="14" t="n">
        <v>14.5</v>
      </c>
      <c r="D8" s="25" t="n">
        <f aca="false">(B8-C8)/C8</f>
        <v>-0.0896551724137932</v>
      </c>
      <c r="E8" s="25" t="n">
        <f aca="false">AVERAGE($D$3:$D$8)</f>
        <v>-0.185877643197715</v>
      </c>
      <c r="F8" s="7" t="s">
        <v>108</v>
      </c>
    </row>
    <row r="9" customFormat="false" ht="15" hidden="false" customHeight="false" outlineLevel="0" collapsed="false">
      <c r="A9" s="13" t="n">
        <v>2010</v>
      </c>
      <c r="B9" s="14" t="n">
        <v>12.5</v>
      </c>
      <c r="C9" s="14" t="n">
        <v>14</v>
      </c>
      <c r="D9" s="25" t="n">
        <f aca="false">(B9-C9)/C9</f>
        <v>-0.107142857142857</v>
      </c>
      <c r="E9" s="25" t="n">
        <f aca="false">AVERAGE($D$3:$D$9)</f>
        <v>-0.174629816618449</v>
      </c>
      <c r="F9" s="7"/>
    </row>
    <row r="10" customFormat="false" ht="15" hidden="false" customHeight="false" outlineLevel="0" collapsed="false">
      <c r="A10" s="13" t="n">
        <v>2011</v>
      </c>
      <c r="B10" s="14" t="n">
        <v>10.2</v>
      </c>
      <c r="C10" s="14" t="n">
        <v>13.2</v>
      </c>
      <c r="D10" s="25" t="n">
        <f aca="false">(B10-C10)/C10</f>
        <v>-0.227272727272727</v>
      </c>
      <c r="E10" s="25" t="n">
        <f aca="false">AVERAGE($D$3:$D$10)</f>
        <v>-0.181210180450234</v>
      </c>
      <c r="F10" s="7" t="s">
        <v>109</v>
      </c>
    </row>
    <row r="11" customFormat="false" ht="15" hidden="false" customHeight="false" outlineLevel="0" collapsed="false">
      <c r="A11" s="13" t="n">
        <v>2012</v>
      </c>
      <c r="B11" s="14" t="n">
        <v>11</v>
      </c>
      <c r="C11" s="14" t="n">
        <v>14</v>
      </c>
      <c r="D11" s="25" t="n">
        <f aca="false">(B11-C11)/C11</f>
        <v>-0.214285714285714</v>
      </c>
      <c r="E11" s="25" t="n">
        <f aca="false">AVERAGE($D$3:$D$11)</f>
        <v>-0.184885239765288</v>
      </c>
      <c r="F11" s="7"/>
    </row>
    <row r="12" customFormat="false" ht="15" hidden="false" customHeight="false" outlineLevel="0" collapsed="false">
      <c r="A12" s="13" t="n">
        <v>2013</v>
      </c>
      <c r="B12" s="14" t="n">
        <v>11.5</v>
      </c>
      <c r="C12" s="14" t="n">
        <v>15.5</v>
      </c>
      <c r="D12" s="25" t="n">
        <f aca="false">(B12-C12)/C12</f>
        <v>-0.258064516129032</v>
      </c>
      <c r="E12" s="25" t="n">
        <f aca="false">AVERAGE($D$3:$D$12)</f>
        <v>-0.192203167401662</v>
      </c>
      <c r="F12" s="7" t="s">
        <v>110</v>
      </c>
    </row>
    <row r="13" customFormat="false" ht="15" hidden="false" customHeight="false" outlineLevel="0" collapsed="false">
      <c r="A13" s="13" t="n">
        <v>2014</v>
      </c>
      <c r="B13" s="14" t="n">
        <v>11.2</v>
      </c>
      <c r="C13" s="14" t="n">
        <v>16</v>
      </c>
      <c r="D13" s="25" t="n">
        <f aca="false">(B13-C13)/C13</f>
        <v>-0.3</v>
      </c>
      <c r="E13" s="25" t="n">
        <f aca="false">AVERAGE($D$3:$D$13)</f>
        <v>-0.202002879456056</v>
      </c>
      <c r="F13" s="7"/>
    </row>
    <row r="14" customFormat="false" ht="15" hidden="false" customHeight="false" outlineLevel="0" collapsed="false">
      <c r="A14" s="13" t="n">
        <v>2015</v>
      </c>
      <c r="B14" s="14" t="n">
        <v>11</v>
      </c>
      <c r="C14" s="14" t="n">
        <v>16.5</v>
      </c>
      <c r="D14" s="25" t="n">
        <f aca="false">(B14-C14)/C14</f>
        <v>-0.333333333333333</v>
      </c>
      <c r="E14" s="25" t="n">
        <f aca="false">AVERAGE($D$3:$D$14)</f>
        <v>-0.212947083945829</v>
      </c>
      <c r="F14" s="7"/>
    </row>
    <row r="15" customFormat="false" ht="15" hidden="false" customHeight="false" outlineLevel="0" collapsed="false">
      <c r="A15" s="13" t="n">
        <v>2016</v>
      </c>
      <c r="B15" s="14" t="n">
        <v>12</v>
      </c>
      <c r="C15" s="14" t="n">
        <v>17</v>
      </c>
      <c r="D15" s="25" t="n">
        <f aca="false">(B15-C15)/C15</f>
        <v>-0.294117647058824</v>
      </c>
      <c r="E15" s="25" t="n">
        <f aca="false">AVERAGE($D$3:$D$15)</f>
        <v>-0.21919097341606</v>
      </c>
      <c r="F15" s="7" t="s">
        <v>111</v>
      </c>
    </row>
    <row r="16" customFormat="false" ht="15" hidden="false" customHeight="false" outlineLevel="0" collapsed="false">
      <c r="A16" s="13" t="n">
        <v>2017</v>
      </c>
      <c r="B16" s="14" t="n">
        <v>13.2</v>
      </c>
      <c r="C16" s="14" t="n">
        <v>18.2</v>
      </c>
      <c r="D16" s="25" t="n">
        <f aca="false">(B16-C16)/C16</f>
        <v>-0.274725274725275</v>
      </c>
      <c r="E16" s="25" t="n">
        <f aca="false">AVERAGE($D$3:$D$16)</f>
        <v>-0.223157709223861</v>
      </c>
      <c r="F16" s="7" t="s">
        <v>112</v>
      </c>
    </row>
    <row r="17" customFormat="false" ht="15" hidden="false" customHeight="false" outlineLevel="0" collapsed="false">
      <c r="A17" s="13" t="n">
        <v>2018</v>
      </c>
      <c r="B17" s="14" t="n">
        <v>11</v>
      </c>
      <c r="C17" s="14" t="n">
        <v>16.5</v>
      </c>
      <c r="D17" s="25" t="n">
        <f aca="false">(B17-C17)/C17</f>
        <v>-0.333333333333333</v>
      </c>
      <c r="E17" s="25" t="n">
        <f aca="false">AVERAGE($D$3:$D$17)</f>
        <v>-0.230502750831159</v>
      </c>
      <c r="F17" s="7"/>
    </row>
    <row r="18" customFormat="false" ht="15" hidden="false" customHeight="false" outlineLevel="0" collapsed="false">
      <c r="A18" s="13" t="n">
        <v>2019</v>
      </c>
      <c r="B18" s="14" t="n">
        <v>12.5</v>
      </c>
      <c r="C18" s="14" t="n">
        <v>18.5</v>
      </c>
      <c r="D18" s="25" t="n">
        <f aca="false">(B18-C18)/C18</f>
        <v>-0.324324324324324</v>
      </c>
      <c r="E18" s="25" t="n">
        <f aca="false">AVERAGE($D$3:$D$18)</f>
        <v>-0.236366599174482</v>
      </c>
      <c r="F18" s="7"/>
    </row>
    <row r="19" customFormat="false" ht="15" hidden="false" customHeight="false" outlineLevel="0" collapsed="false">
      <c r="A19" s="13" t="n">
        <v>2020</v>
      </c>
      <c r="B19" s="14" t="n">
        <v>14.2</v>
      </c>
      <c r="C19" s="14" t="n">
        <v>23</v>
      </c>
      <c r="D19" s="25" t="n">
        <f aca="false">(B19-C19)/C19</f>
        <v>-0.382608695652174</v>
      </c>
      <c r="E19" s="25" t="n">
        <f aca="false">AVERAGE($D$3:$D$19)</f>
        <v>-0.244969075437876</v>
      </c>
      <c r="F19" s="7" t="s">
        <v>113</v>
      </c>
    </row>
    <row r="20" customFormat="false" ht="15" hidden="false" customHeight="false" outlineLevel="0" collapsed="false">
      <c r="A20" s="13" t="n">
        <v>2021</v>
      </c>
      <c r="B20" s="14" t="n">
        <v>12.8</v>
      </c>
      <c r="C20" s="14" t="n">
        <v>21</v>
      </c>
      <c r="D20" s="25" t="n">
        <f aca="false">(B20-C20)/C20</f>
        <v>-0.39047619047619</v>
      </c>
      <c r="E20" s="25" t="n">
        <f aca="false">AVERAGE($D$3:$D$20)</f>
        <v>-0.253052804051115</v>
      </c>
      <c r="F20" s="7" t="s">
        <v>114</v>
      </c>
    </row>
    <row r="21" customFormat="false" ht="15" hidden="false" customHeight="false" outlineLevel="0" collapsed="false">
      <c r="A21" s="13" t="n">
        <v>2022</v>
      </c>
      <c r="B21" s="14" t="n">
        <v>10.2</v>
      </c>
      <c r="C21" s="14" t="n">
        <v>16.5</v>
      </c>
      <c r="D21" s="25" t="n">
        <f aca="false">(B21-C21)/C21</f>
        <v>-0.381818181818182</v>
      </c>
      <c r="E21" s="25" t="n">
        <f aca="false">AVERAGE($D$3:$D$21)</f>
        <v>-0.25982992919675</v>
      </c>
      <c r="F21" s="7" t="s">
        <v>115</v>
      </c>
    </row>
    <row r="22" customFormat="false" ht="15" hidden="false" customHeight="false" outlineLevel="0" collapsed="false">
      <c r="A22" s="13" t="n">
        <v>2023</v>
      </c>
      <c r="B22" s="14" t="n">
        <v>11.8</v>
      </c>
      <c r="C22" s="14" t="n">
        <v>19.5</v>
      </c>
      <c r="D22" s="25" t="n">
        <f aca="false">(B22-C22)/C22</f>
        <v>-0.394871794871795</v>
      </c>
      <c r="E22" s="25" t="n">
        <f aca="false">AVERAGE($D$3:$D$22)</f>
        <v>-0.266582022480503</v>
      </c>
      <c r="F22" s="7" t="s">
        <v>116</v>
      </c>
    </row>
    <row r="23" customFormat="false" ht="15" hidden="false" customHeight="false" outlineLevel="0" collapsed="false">
      <c r="A23" s="13" t="n">
        <v>2024</v>
      </c>
      <c r="B23" s="14" t="n">
        <v>12.3</v>
      </c>
      <c r="C23" s="14" t="n">
        <v>21.5</v>
      </c>
      <c r="D23" s="25" t="n">
        <f aca="false">(B23-C23)/C23</f>
        <v>-0.427906976744186</v>
      </c>
      <c r="E23" s="25" t="n">
        <f aca="false">AVERAGE($D$3:$D$23)</f>
        <v>-0.274264163159726</v>
      </c>
      <c r="F23" s="7" t="s">
        <v>117</v>
      </c>
    </row>
    <row r="24" customFormat="false" ht="15" hidden="false" customHeight="false" outlineLevel="0" collapsed="false">
      <c r="A24" s="16" t="n">
        <v>2025</v>
      </c>
      <c r="B24" s="17" t="n">
        <v>12.5</v>
      </c>
      <c r="C24" s="17" t="n">
        <v>20</v>
      </c>
      <c r="D24" s="26" t="n">
        <f aca="false">(B24-C24)/C24</f>
        <v>-0.375</v>
      </c>
      <c r="E24" s="26" t="n">
        <f aca="false">AVERAGE($D$3:$D$24)</f>
        <v>-0.278843064834284</v>
      </c>
      <c r="F24" s="19" t="s">
        <v>118</v>
      </c>
    </row>
    <row r="25" customFormat="false" ht="15" hidden="false" customHeight="false" outlineLevel="0" collapsed="false">
      <c r="A25" s="16" t="n">
        <v>2026</v>
      </c>
      <c r="B25" s="17" t="n">
        <v>13</v>
      </c>
      <c r="C25" s="17" t="n">
        <v>19.5</v>
      </c>
      <c r="D25" s="26" t="n">
        <f aca="false">(B25-C25)/C25</f>
        <v>-0.333333333333333</v>
      </c>
      <c r="E25" s="26" t="n">
        <f aca="false">AVERAGE($D$3:$D$25)</f>
        <v>-0.281212206942938</v>
      </c>
      <c r="F25" s="19" t="s">
        <v>119</v>
      </c>
    </row>
    <row r="27" customFormat="false" ht="15" hidden="false" customHeight="false" outlineLevel="0" collapsed="false">
      <c r="A27" s="20" t="s">
        <v>120</v>
      </c>
    </row>
    <row r="28" customFormat="false" ht="15" hidden="false" customHeight="false" outlineLevel="0" collapsed="false">
      <c r="A28" s="21" t="s">
        <v>121</v>
      </c>
      <c r="B28" s="27" t="n">
        <f aca="false">D25/AVERAGE(D3:D25)-1</f>
        <v>0.18534446622003</v>
      </c>
      <c r="C28" s="28" t="s">
        <v>122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22"/>
  </cols>
  <sheetData>
    <row r="1" customFormat="false" ht="18" hidden="false" customHeight="true" outlineLevel="0" collapsed="false">
      <c r="A1" s="11" t="s">
        <v>123</v>
      </c>
      <c r="B1" s="11"/>
      <c r="C1" s="11"/>
      <c r="D1" s="11"/>
      <c r="E1" s="11"/>
      <c r="F1" s="11"/>
      <c r="G1" s="11"/>
    </row>
    <row r="2" customFormat="false" ht="15" hidden="false" customHeight="false" outlineLevel="0" collapsed="false">
      <c r="A2" s="12" t="s">
        <v>124</v>
      </c>
      <c r="B2" s="12" t="s">
        <v>125</v>
      </c>
      <c r="C2" s="12" t="s">
        <v>126</v>
      </c>
      <c r="D2" s="12" t="s">
        <v>127</v>
      </c>
      <c r="E2" s="12" t="s">
        <v>128</v>
      </c>
      <c r="F2" s="12" t="s">
        <v>129</v>
      </c>
      <c r="G2" s="12" t="s">
        <v>130</v>
      </c>
    </row>
    <row r="3" customFormat="false" ht="15" hidden="false" customHeight="false" outlineLevel="0" collapsed="false">
      <c r="A3" s="5" t="s">
        <v>131</v>
      </c>
      <c r="B3" s="29" t="n">
        <v>27</v>
      </c>
      <c r="C3" s="14" t="n">
        <v>10.2</v>
      </c>
      <c r="D3" s="14" t="n">
        <v>12</v>
      </c>
      <c r="E3" s="25" t="n">
        <f aca="false">(C3-D3)/D3</f>
        <v>-0.15</v>
      </c>
      <c r="F3" s="29" t="n">
        <v>8.5</v>
      </c>
      <c r="G3" s="7" t="s">
        <v>132</v>
      </c>
    </row>
    <row r="4" customFormat="false" ht="15" hidden="false" customHeight="false" outlineLevel="0" collapsed="false">
      <c r="A4" s="5" t="s">
        <v>133</v>
      </c>
      <c r="B4" s="29" t="n">
        <v>17</v>
      </c>
      <c r="C4" s="14" t="n">
        <v>15.8</v>
      </c>
      <c r="D4" s="14" t="n">
        <v>16.5</v>
      </c>
      <c r="E4" s="25" t="n">
        <f aca="false">(C4-D4)/D4</f>
        <v>-0.0424242424242424</v>
      </c>
      <c r="F4" s="29" t="n">
        <v>12</v>
      </c>
      <c r="G4" s="7" t="s">
        <v>134</v>
      </c>
    </row>
    <row r="5" customFormat="false" ht="15" hidden="false" customHeight="false" outlineLevel="0" collapsed="false">
      <c r="A5" s="5" t="s">
        <v>135</v>
      </c>
      <c r="B5" s="29" t="n">
        <v>18</v>
      </c>
      <c r="C5" s="14" t="n">
        <v>22.5</v>
      </c>
      <c r="D5" s="14" t="n">
        <v>21</v>
      </c>
      <c r="E5" s="25" t="n">
        <f aca="false">(C5-D5)/D5</f>
        <v>0.0714285714285714</v>
      </c>
      <c r="F5" s="29" t="n">
        <v>14</v>
      </c>
      <c r="G5" s="7" t="s">
        <v>136</v>
      </c>
    </row>
    <row r="6" customFormat="false" ht="15" hidden="false" customHeight="false" outlineLevel="0" collapsed="false">
      <c r="A6" s="5" t="s">
        <v>137</v>
      </c>
      <c r="B6" s="29" t="n">
        <v>13</v>
      </c>
      <c r="C6" s="14" t="n">
        <v>10.5</v>
      </c>
      <c r="D6" s="14" t="n">
        <v>12.8</v>
      </c>
      <c r="E6" s="25" t="n">
        <f aca="false">(C6-D6)/D6</f>
        <v>-0.1796875</v>
      </c>
      <c r="F6" s="29" t="n">
        <v>9</v>
      </c>
      <c r="G6" s="7" t="s">
        <v>138</v>
      </c>
    </row>
    <row r="7" customFormat="false" ht="15" hidden="false" customHeight="false" outlineLevel="0" collapsed="false">
      <c r="A7" s="5" t="s">
        <v>139</v>
      </c>
      <c r="B7" s="29" t="n">
        <v>5</v>
      </c>
      <c r="C7" s="14" t="n">
        <v>8.8</v>
      </c>
      <c r="D7" s="14" t="n">
        <v>10.5</v>
      </c>
      <c r="E7" s="25" t="n">
        <f aca="false">(C7-D7)/D7</f>
        <v>-0.161904761904762</v>
      </c>
      <c r="F7" s="29" t="n">
        <v>7</v>
      </c>
      <c r="G7" s="7" t="s">
        <v>140</v>
      </c>
    </row>
    <row r="8" customFormat="false" ht="15" hidden="false" customHeight="false" outlineLevel="0" collapsed="false">
      <c r="A8" s="5" t="s">
        <v>141</v>
      </c>
      <c r="B8" s="29" t="n">
        <v>4.5</v>
      </c>
      <c r="C8" s="14" t="n">
        <v>14.2</v>
      </c>
      <c r="D8" s="14" t="n">
        <v>15</v>
      </c>
      <c r="E8" s="25" t="n">
        <f aca="false">(C8-D8)/D8</f>
        <v>-0.0533333333333334</v>
      </c>
      <c r="F8" s="29" t="n">
        <v>5.5</v>
      </c>
      <c r="G8" s="7" t="s">
        <v>142</v>
      </c>
    </row>
    <row r="9" customFormat="false" ht="15" hidden="false" customHeight="false" outlineLevel="0" collapsed="false">
      <c r="A9" s="5" t="s">
        <v>143</v>
      </c>
      <c r="B9" s="29" t="n">
        <v>2.2</v>
      </c>
      <c r="C9" s="14" t="n">
        <v>13.5</v>
      </c>
      <c r="D9" s="14" t="n">
        <v>14.2</v>
      </c>
      <c r="E9" s="25" t="n">
        <f aca="false">(C9-D9)/D9</f>
        <v>-0.0492957746478873</v>
      </c>
      <c r="F9" s="29" t="n">
        <v>8</v>
      </c>
      <c r="G9" s="7" t="s">
        <v>144</v>
      </c>
    </row>
    <row r="10" customFormat="false" ht="15" hidden="false" customHeight="false" outlineLevel="0" collapsed="false">
      <c r="A10" s="5" t="s">
        <v>145</v>
      </c>
      <c r="B10" s="29" t="n">
        <v>2</v>
      </c>
      <c r="C10" s="14" t="n">
        <v>12.2</v>
      </c>
      <c r="D10" s="14" t="n">
        <v>14.5</v>
      </c>
      <c r="E10" s="25" t="n">
        <f aca="false">(C10-D10)/D10</f>
        <v>-0.158620689655172</v>
      </c>
      <c r="F10" s="29" t="n">
        <v>6</v>
      </c>
      <c r="G10" s="7" t="s">
        <v>146</v>
      </c>
    </row>
    <row r="11" customFormat="false" ht="15" hidden="false" customHeight="false" outlineLevel="0" collapsed="false">
      <c r="A11" s="5" t="s">
        <v>147</v>
      </c>
      <c r="B11" s="29" t="n">
        <v>1.8</v>
      </c>
      <c r="C11" s="14" t="n">
        <v>9.5</v>
      </c>
      <c r="D11" s="14" t="n">
        <v>11</v>
      </c>
      <c r="E11" s="25" t="n">
        <f aca="false">(C11-D11)/D11</f>
        <v>-0.136363636363636</v>
      </c>
      <c r="F11" s="29" t="n">
        <v>5.5</v>
      </c>
      <c r="G11" s="7" t="s">
        <v>148</v>
      </c>
    </row>
    <row r="12" customFormat="false" ht="15" hidden="false" customHeight="false" outlineLevel="0" collapsed="false">
      <c r="A12" s="5" t="s">
        <v>149</v>
      </c>
      <c r="B12" s="29" t="n">
        <v>1.5</v>
      </c>
      <c r="C12" s="14" t="n">
        <v>14.8</v>
      </c>
      <c r="D12" s="14" t="n">
        <v>16</v>
      </c>
      <c r="E12" s="25" t="n">
        <f aca="false">(C12-D12)/D12</f>
        <v>-0.075</v>
      </c>
      <c r="F12" s="29" t="n">
        <v>7</v>
      </c>
      <c r="G12" s="7" t="s">
        <v>150</v>
      </c>
    </row>
    <row r="14" customFormat="false" ht="15" hidden="false" customHeight="false" outlineLevel="0" collapsed="false">
      <c r="A14" s="30" t="s">
        <v>151</v>
      </c>
      <c r="B14" s="31" t="n">
        <f aca="false">SUM(B3:B12)</f>
        <v>92</v>
      </c>
      <c r="C14" s="32" t="n">
        <v>12.5</v>
      </c>
      <c r="D14" s="32" t="n">
        <v>14.5</v>
      </c>
      <c r="E14" s="33" t="n">
        <f aca="false">(C14-D14)/D14</f>
        <v>-0.137931034482759</v>
      </c>
      <c r="F14" s="31" t="n">
        <v>9</v>
      </c>
      <c r="G14" s="34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8"/>
    <col collapsed="false" customWidth="true" hidden="false" outlineLevel="0" max="4" min="4" style="0" width="20"/>
    <col collapsed="false" customWidth="true" hidden="false" outlineLevel="0" max="5" min="5" style="0" width="22"/>
  </cols>
  <sheetData>
    <row r="1" customFormat="false" ht="18" hidden="false" customHeight="true" outlineLevel="0" collapsed="false">
      <c r="A1" s="11" t="s">
        <v>152</v>
      </c>
      <c r="B1" s="11"/>
      <c r="C1" s="11"/>
      <c r="D1" s="11"/>
      <c r="E1" s="11"/>
    </row>
    <row r="2" customFormat="false" ht="15" hidden="false" customHeight="false" outlineLevel="0" collapsed="false">
      <c r="A2" s="12" t="s">
        <v>72</v>
      </c>
      <c r="B2" s="12" t="s">
        <v>153</v>
      </c>
      <c r="C2" s="12" t="s">
        <v>154</v>
      </c>
      <c r="D2" s="12" t="s">
        <v>155</v>
      </c>
      <c r="E2" s="12" t="s">
        <v>77</v>
      </c>
    </row>
    <row r="3" customFormat="false" ht="15" hidden="false" customHeight="false" outlineLevel="0" collapsed="false">
      <c r="A3" s="13" t="n">
        <v>2019</v>
      </c>
      <c r="B3" s="35" t="n">
        <v>82</v>
      </c>
      <c r="C3" s="35" t="n">
        <v>38</v>
      </c>
      <c r="D3" s="36" t="n">
        <f aca="false">B3/C3</f>
        <v>2.15789473684211</v>
      </c>
      <c r="E3" s="7" t="s">
        <v>156</v>
      </c>
    </row>
    <row r="4" customFormat="false" ht="15" hidden="false" customHeight="false" outlineLevel="0" collapsed="false">
      <c r="A4" s="13" t="n">
        <v>2020</v>
      </c>
      <c r="B4" s="35" t="n">
        <v>125</v>
      </c>
      <c r="C4" s="35" t="n">
        <v>42</v>
      </c>
      <c r="D4" s="36" t="n">
        <f aca="false">B4/C4</f>
        <v>2.97619047619048</v>
      </c>
      <c r="E4" s="7" t="s">
        <v>157</v>
      </c>
    </row>
    <row r="5" customFormat="false" ht="15" hidden="false" customHeight="false" outlineLevel="0" collapsed="false">
      <c r="A5" s="13" t="n">
        <v>2021</v>
      </c>
      <c r="B5" s="35" t="n">
        <v>220</v>
      </c>
      <c r="C5" s="35" t="n">
        <v>55</v>
      </c>
      <c r="D5" s="36" t="n">
        <f aca="false">B5/C5</f>
        <v>4</v>
      </c>
      <c r="E5" s="7" t="s">
        <v>158</v>
      </c>
    </row>
    <row r="6" customFormat="false" ht="15" hidden="false" customHeight="false" outlineLevel="0" collapsed="false">
      <c r="A6" s="13" t="n">
        <v>2022</v>
      </c>
      <c r="B6" s="35" t="n">
        <v>95</v>
      </c>
      <c r="C6" s="35" t="n">
        <v>-12</v>
      </c>
      <c r="D6" s="36" t="n">
        <f aca="false">B6/C6</f>
        <v>-7.91666666666667</v>
      </c>
      <c r="E6" s="7" t="s">
        <v>159</v>
      </c>
    </row>
    <row r="7" customFormat="false" ht="15" hidden="false" customHeight="false" outlineLevel="0" collapsed="false">
      <c r="A7" s="13" t="n">
        <v>2023</v>
      </c>
      <c r="B7" s="35" t="n">
        <v>195</v>
      </c>
      <c r="C7" s="35" t="n">
        <v>14</v>
      </c>
      <c r="D7" s="36" t="n">
        <f aca="false">B7/C7</f>
        <v>13.9285714285714</v>
      </c>
      <c r="E7" s="7" t="s">
        <v>160</v>
      </c>
    </row>
    <row r="8" customFormat="false" ht="15" hidden="false" customHeight="false" outlineLevel="0" collapsed="false">
      <c r="A8" s="13" t="n">
        <v>2024</v>
      </c>
      <c r="B8" s="35" t="n">
        <v>255</v>
      </c>
      <c r="C8" s="35" t="n">
        <v>14</v>
      </c>
      <c r="D8" s="36" t="n">
        <f aca="false">B8/C8</f>
        <v>18.2142857142857</v>
      </c>
      <c r="E8" s="7" t="s">
        <v>161</v>
      </c>
    </row>
    <row r="9" customFormat="false" ht="15" hidden="false" customHeight="false" outlineLevel="0" collapsed="false">
      <c r="A9" s="16" t="n">
        <v>2025</v>
      </c>
      <c r="B9" s="37" t="n">
        <v>80</v>
      </c>
      <c r="C9" s="37" t="n">
        <v>22</v>
      </c>
      <c r="D9" s="38" t="n">
        <f aca="false">B9/C9</f>
        <v>3.63636363636364</v>
      </c>
      <c r="E9" s="19" t="s">
        <v>162</v>
      </c>
    </row>
    <row r="11" customFormat="false" ht="15" hidden="false" customHeight="false" outlineLevel="0" collapsed="false">
      <c r="A11" s="20" t="s">
        <v>163</v>
      </c>
      <c r="B11" s="39" t="n">
        <f aca="false">SUM(B9:B8)</f>
        <v>335</v>
      </c>
    </row>
    <row r="12" customFormat="false" ht="15" hidden="false" customHeight="false" outlineLevel="0" collapsed="false">
      <c r="A12" s="20" t="s">
        <v>164</v>
      </c>
      <c r="B12" s="39" t="n">
        <f aca="false">SUM(C9:C8)</f>
        <v>36</v>
      </c>
    </row>
    <row r="13" customFormat="false" ht="15" hidden="false" customHeight="false" outlineLevel="0" collapsed="false">
      <c r="A13" s="40" t="s">
        <v>165</v>
      </c>
      <c r="B13" s="40"/>
      <c r="C13" s="40"/>
      <c r="D13" s="40"/>
      <c r="E13" s="40"/>
    </row>
  </sheetData>
  <mergeCells count="2">
    <mergeCell ref="A1:E1"/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2026-04-01T12:50:09Z</dcterms:created>
  <dc:creator>openpyxl</dc:creator>
  <dc:description/>
  <dc:language>en-US</dc:language>
  <cp:lastModifiedBy/>
  <dcterms:modified xsi:type="dcterms:W3CDTF">2026-04-01T12:50:09Z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