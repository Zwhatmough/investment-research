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_Assumptions_Sourc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XY_MSCI_EM" sheetId="3" state="visible" r:id="rId3"/>
    <sheet xmlns:r="http://schemas.openxmlformats.org/officeDocument/2006/relationships" name="EM_DM_Discount" sheetId="4" state="visible" r:id="rId4"/>
    <sheet xmlns:r="http://schemas.openxmlformats.org/officeDocument/2006/relationships" name="Country_Valuations" sheetId="5" state="visible" r:id="rId5"/>
    <sheet xmlns:r="http://schemas.openxmlformats.org/officeDocument/2006/relationships" name="Capital_Flows" sheetId="6" state="visible" r:id="rId6"/>
    <sheet xmlns:r="http://schemas.openxmlformats.org/officeDocument/2006/relationships" name="OLS_DXY_EM" sheetId="7" state="visible" r:id="rId7"/>
    <sheet xmlns:r="http://schemas.openxmlformats.org/officeDocument/2006/relationships" name="ECB_Fed_Differential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Audit_Log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"/>
    <numFmt numFmtId="165" formatCode="0.0\%"/>
    <numFmt numFmtId="166" formatCode="0.0%"/>
    <numFmt numFmtId="167" formatCode="\$#,##0"/>
    <numFmt numFmtId="168" formatCode="0.0\x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0D1B2A"/>
      <sz val="14"/>
    </font>
    <font>
      <name val="Calibri"/>
      <charset val="1"/>
      <family val="0"/>
      <b val="1"/>
      <color rgb="FF1B4F72"/>
      <sz val="11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b val="1"/>
      <color rgb="FF0D1B2A"/>
      <sz val="12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444444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FF"/>
      <sz val="9"/>
    </font>
    <font>
      <name val="Arial"/>
      <charset val="1"/>
      <family val="0"/>
      <i val="1"/>
      <color rgb="FF000000"/>
      <sz val="8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8"/>
    </font>
    <font>
      <name val="Cambria"/>
      <charset val="1"/>
      <family val="0"/>
      <color rgb="FF000000"/>
      <sz val="11"/>
    </font>
    <font>
      <name val="Arial"/>
      <charset val="1"/>
      <family val="0"/>
      <b val="1"/>
      <i val="1"/>
      <color rgb="FFC0392B"/>
      <sz val="8"/>
    </font>
    <font>
      <name val="Calibri"/>
      <charset val="1"/>
      <family val="0"/>
      <b val="1"/>
      <color rgb="FF0D1B2A"/>
      <sz val="13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i val="1"/>
      <color rgb="FF000000"/>
      <sz val="10"/>
    </font>
    <font>
      <name val="Calibri"/>
      <charset val="1"/>
      <family val="0"/>
      <color rgb="FFB83232"/>
      <sz val="10"/>
    </font>
    <font>
      <name val="Calibri"/>
      <charset val="1"/>
      <family val="0"/>
      <color rgb="FF1A7A40"/>
      <sz val="10"/>
    </font>
    <font>
      <b val="1"/>
      <color rgb="00F4F6F8"/>
      <sz val="12"/>
    </font>
    <font>
      <b val="1"/>
      <color rgb="00F4F6F8"/>
      <sz val="10"/>
    </font>
    <font>
      <color rgb="00333333"/>
      <sz val="9"/>
    </font>
    <font>
      <b val="1"/>
      <color rgb="00F4F6F8"/>
      <sz val="13"/>
    </font>
    <font>
      <color rgb="00F4F6F8"/>
      <sz val="9"/>
    </font>
    <font>
      <b val="1"/>
      <color rgb="00F4F6F8"/>
      <sz val="9"/>
    </font>
    <font>
      <color rgb="00000000"/>
      <sz val="9"/>
    </font>
    <font>
      <b val="1"/>
      <color rgb="00000000"/>
      <sz val="9"/>
    </font>
    <font>
      <color rgb="00000000"/>
      <sz val="8"/>
    </font>
  </fonts>
  <fills count="15">
    <fill>
      <patternFill/>
    </fill>
    <fill>
      <patternFill patternType="gray125"/>
    </fill>
    <fill>
      <patternFill patternType="solid">
        <fgColor rgb="FF0D1B2A"/>
        <bgColor rgb="FF0D1F3C"/>
      </patternFill>
    </fill>
    <fill>
      <patternFill patternType="solid">
        <fgColor rgb="FFF4F6F8"/>
        <bgColor rgb="FFEBF5FB"/>
      </patternFill>
    </fill>
    <fill>
      <patternFill patternType="solid">
        <fgColor rgb="FFFFFFFF"/>
        <bgColor rgb="FFF4F6F8"/>
      </patternFill>
    </fill>
    <fill>
      <patternFill patternType="solid">
        <fgColor rgb="FF0D1F3C"/>
        <bgColor rgb="FF0D1B2A"/>
      </patternFill>
    </fill>
    <fill>
      <patternFill patternType="solid">
        <fgColor rgb="FF1A3A5C"/>
        <bgColor rgb="FF1B4F72"/>
      </patternFill>
    </fill>
    <fill>
      <patternFill patternType="solid">
        <fgColor rgb="FF1E6FA8"/>
        <bgColor rgb="FF008080"/>
      </patternFill>
    </fill>
    <fill>
      <patternFill patternType="solid">
        <fgColor rgb="FFEBF5FB"/>
        <bgColor rgb="FFF4F6F8"/>
      </patternFill>
    </fill>
    <fill>
      <patternFill patternType="solid">
        <fgColor rgb="FF1B4F72"/>
        <bgColor rgb="FF1A3A5C"/>
      </patternFill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EEF2F7"/>
      </patternFill>
    </fill>
    <fill>
      <patternFill patternType="solid">
        <fgColor rgb="002E4057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6" fontId="19" fillId="0" borderId="1" applyAlignment="1" pivotButton="0" quotePrefix="0" xfId="0">
      <alignment horizontal="center" vertical="center"/>
    </xf>
    <xf numFmtId="166" fontId="19" fillId="8" borderId="1" applyAlignment="1" pivotButton="0" quotePrefix="0" xfId="0">
      <alignment horizontal="center" vertical="center"/>
    </xf>
    <xf numFmtId="166" fontId="1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general" vertical="bottom"/>
    </xf>
    <xf numFmtId="165" fontId="15" fillId="7" borderId="1" applyAlignment="1" pivotButton="0" quotePrefix="0" xfId="0">
      <alignment horizontal="general" vertical="bottom"/>
    </xf>
    <xf numFmtId="164" fontId="15" fillId="7" borderId="1" applyAlignment="1" pivotButton="0" quotePrefix="0" xfId="0">
      <alignment horizontal="general" vertical="bottom"/>
    </xf>
    <xf numFmtId="166" fontId="15" fillId="7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17" fillId="0" borderId="1" applyAlignment="1" pivotButton="0" quotePrefix="0" xfId="0">
      <alignment horizontal="center" vertical="center"/>
    </xf>
    <xf numFmtId="168" fontId="19" fillId="0" borderId="1" applyAlignment="1" pivotButton="0" quotePrefix="0" xfId="0">
      <alignment horizontal="center" vertical="center"/>
    </xf>
    <xf numFmtId="167" fontId="17" fillId="8" borderId="1" applyAlignment="1" pivotButton="0" quotePrefix="0" xfId="0">
      <alignment horizontal="center" vertical="center"/>
    </xf>
    <xf numFmtId="168" fontId="19" fillId="8" borderId="1" applyAlignment="1" pivotButton="0" quotePrefix="0" xfId="0">
      <alignment horizontal="center" vertical="center"/>
    </xf>
    <xf numFmtId="167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top" wrapText="1"/>
    </xf>
    <xf numFmtId="0" fontId="27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top" wrapText="1"/>
    </xf>
    <xf numFmtId="0" fontId="2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9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5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6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20" fillId="7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64" fontId="17" fillId="0" borderId="1" applyAlignment="1" pivotButton="0" quotePrefix="0" xfId="0">
      <alignment horizontal="center" vertical="center"/>
    </xf>
    <xf numFmtId="165" fontId="19" fillId="0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4" fontId="17" fillId="8" borderId="1" applyAlignment="1" pivotButton="0" quotePrefix="0" xfId="0">
      <alignment horizontal="center" vertical="center"/>
    </xf>
    <xf numFmtId="165" fontId="19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4" fontId="17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166" fontId="19" fillId="0" borderId="1" applyAlignment="1" pivotButton="0" quotePrefix="0" xfId="0">
      <alignment horizontal="center" vertical="center"/>
    </xf>
    <xf numFmtId="166" fontId="19" fillId="8" borderId="1" applyAlignment="1" pivotButton="0" quotePrefix="0" xfId="0">
      <alignment horizontal="center" vertical="center"/>
    </xf>
    <xf numFmtId="166" fontId="19" fillId="0" borderId="0" applyAlignment="1" pivotButton="0" quotePrefix="0" xfId="0">
      <alignment horizontal="general" vertical="bottom"/>
    </xf>
    <xf numFmtId="165" fontId="17" fillId="0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general" vertical="bottom"/>
    </xf>
    <xf numFmtId="165" fontId="15" fillId="7" borderId="1" applyAlignment="1" pivotButton="0" quotePrefix="0" xfId="0">
      <alignment horizontal="general" vertical="bottom"/>
    </xf>
    <xf numFmtId="164" fontId="15" fillId="7" borderId="1" applyAlignment="1" pivotButton="0" quotePrefix="0" xfId="0">
      <alignment horizontal="general" vertical="bottom"/>
    </xf>
    <xf numFmtId="166" fontId="15" fillId="7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7" fontId="17" fillId="0" borderId="1" applyAlignment="1" pivotButton="0" quotePrefix="0" xfId="0">
      <alignment horizontal="center" vertical="center"/>
    </xf>
    <xf numFmtId="168" fontId="19" fillId="0" borderId="1" applyAlignment="1" pivotButton="0" quotePrefix="0" xfId="0">
      <alignment horizontal="center" vertical="center"/>
    </xf>
    <xf numFmtId="167" fontId="17" fillId="8" borderId="1" applyAlignment="1" pivotButton="0" quotePrefix="0" xfId="0">
      <alignment horizontal="center" vertical="center"/>
    </xf>
    <xf numFmtId="168" fontId="19" fillId="8" borderId="1" applyAlignment="1" pivotButton="0" quotePrefix="0" xfId="0">
      <alignment horizontal="center" vertical="center"/>
    </xf>
    <xf numFmtId="167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8" fillId="9" borderId="0" applyAlignment="1" pivotButton="0" quotePrefix="0" xfId="0">
      <alignment horizontal="center" vertical="center"/>
    </xf>
    <xf numFmtId="0" fontId="24" fillId="3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general" vertical="bottom"/>
    </xf>
    <xf numFmtId="0" fontId="24" fillId="4" borderId="0" applyAlignment="1" pivotButton="0" quotePrefix="0" xfId="0">
      <alignment horizontal="general" vertical="bottom"/>
    </xf>
    <xf numFmtId="0" fontId="25" fillId="4" borderId="0" applyAlignment="1" pivotButton="0" quotePrefix="0" xfId="0">
      <alignment horizontal="general" vertical="bottom"/>
    </xf>
    <xf numFmtId="0" fontId="26" fillId="3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top" wrapText="1"/>
    </xf>
    <xf numFmtId="0" fontId="27" fillId="4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general" vertical="top" wrapText="1"/>
    </xf>
    <xf numFmtId="0" fontId="27" fillId="3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11" borderId="0" applyAlignment="1" pivotButton="0" quotePrefix="0" xfId="0">
      <alignment horizontal="left" vertical="center"/>
    </xf>
    <xf numFmtId="0" fontId="30" fillId="12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left" vertical="center"/>
    </xf>
    <xf numFmtId="0" fontId="32" fillId="11" borderId="0" applyAlignment="1" pivotButton="0" quotePrefix="0" xfId="0">
      <alignment horizontal="left" vertical="center"/>
    </xf>
    <xf numFmtId="0" fontId="33" fillId="13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left" vertical="top" wrapText="1"/>
    </xf>
    <xf numFmtId="0" fontId="34" fillId="0" borderId="0" applyAlignment="1" pivotButton="0" quotePrefix="0" xfId="0">
      <alignment horizontal="left" vertical="center"/>
    </xf>
    <xf numFmtId="0" fontId="35" fillId="12" borderId="0" applyAlignment="1" pivotButton="0" quotePrefix="0" xfId="0">
      <alignment horizontal="left" vertical="center"/>
    </xf>
    <xf numFmtId="0" fontId="34" fillId="14" borderId="0" applyAlignment="1" pivotButton="0" quotePrefix="0" xfId="0">
      <alignment horizontal="left" vertical="top" wrapText="1"/>
    </xf>
    <xf numFmtId="0" fontId="36" fillId="0" borderId="0" applyAlignment="1" pivotButton="0" quotePrefix="0" xfId="0">
      <alignment horizontal="left" vertical="center"/>
    </xf>
    <xf numFmtId="0" fontId="34" fillId="12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7A40"/>
      <rgbColor rgb="FF000080"/>
      <rgbColor rgb="FF808000"/>
      <rgbColor rgb="FF800080"/>
      <rgbColor rgb="FF008080"/>
      <rgbColor rgb="FFC0C0C0"/>
      <rgbColor rgb="FF808080"/>
      <rgbColor rgb="FF9999FF"/>
      <rgbColor rgb="FFC0392B"/>
      <rgbColor rgb="FFF4F6F8"/>
      <rgbColor rgb="FFEBF5FB"/>
      <rgbColor rgb="FF660066"/>
      <rgbColor rgb="FFFF8080"/>
      <rgbColor rgb="FF1E6FA8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A5C"/>
      <rgbColor rgb="FF339966"/>
      <rgbColor rgb="FF0D1B2A"/>
      <rgbColor rgb="FF0D1F3C"/>
      <rgbColor rgb="FFB83232"/>
      <rgbColor rgb="FF993366"/>
      <rgbColor rgb="FF1B4F72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4619625" cy="2943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32</row>
      <rowOff>0</rowOff>
    </from>
    <ext cx="6029325" cy="2619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58</row>
      <rowOff>0</rowOff>
    </from>
    <ext cx="5562600" cy="2705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84</row>
      <rowOff>0</rowOff>
    </from>
    <ext cx="5038725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112</row>
      <rowOff>0</rowOff>
    </from>
    <ext cx="5076825" cy="2705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138</row>
      <rowOff>0</rowOff>
    </from>
    <ext cx="5010150" cy="2705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70" min="1" max="1"/>
    <col width="28" customWidth="1" style="70" min="2" max="2"/>
    <col width="22" customWidth="1" style="70" min="3" max="3"/>
    <col width="32" customWidth="1" style="70" min="4" max="4"/>
    <col width="16" customWidth="1" style="70" min="5" max="5"/>
    <col width="22" customWidth="1" style="70" min="6" max="6"/>
    <col width="38" customWidth="1" style="70" min="7" max="7"/>
  </cols>
  <sheetData>
    <row r="1" ht="17.35" customHeight="1" s="71">
      <c r="A1" s="72" t="inlineStr">
        <is>
          <t>SHORT MEMO 04 — Emerging Markets</t>
        </is>
      </c>
    </row>
    <row r="2" ht="15" customHeight="1" s="71">
      <c r="A2" s="73" t="inlineStr">
        <is>
          <t>Assumptions &amp; Data Sources — Full Audit Trail</t>
        </is>
      </c>
    </row>
    <row r="3" ht="15" customHeight="1" s="71">
      <c r="A3" s="74" t="inlineStr">
        <is>
          <t>Colour coding: BLUE = hardcoded input  |  BLACK = formula output  |  GREEN = cross-sheet link</t>
        </is>
      </c>
    </row>
    <row r="4"/>
    <row r="5" ht="15" customHeight="1" s="71">
      <c r="A5" s="75" t="inlineStr">
        <is>
          <t>DATA SOURCES</t>
        </is>
      </c>
    </row>
    <row r="6" ht="15" customHeight="1" s="71">
      <c r="A6" s="76" t="inlineStr">
        <is>
          <t>#</t>
        </is>
      </c>
      <c r="B6" s="76" t="inlineStr">
        <is>
          <t>Series / Variable</t>
        </is>
      </c>
      <c r="C6" s="76" t="inlineStr">
        <is>
          <t>Source</t>
        </is>
      </c>
      <c r="D6" s="76" t="inlineStr">
        <is>
          <t>Specific Reference</t>
        </is>
      </c>
      <c r="E6" s="76" t="inlineStr">
        <is>
          <t>Date Range</t>
        </is>
      </c>
      <c r="F6" s="76" t="inlineStr">
        <is>
          <t>Frequency</t>
        </is>
      </c>
      <c r="G6" s="76" t="inlineStr">
        <is>
          <t>Notes</t>
        </is>
      </c>
    </row>
    <row r="7" ht="15" customHeight="1" s="71">
      <c r="A7" s="77" t="n">
        <v>1</v>
      </c>
      <c r="B7" s="77" t="inlineStr">
        <is>
          <t>MSCI EM annual total return</t>
        </is>
      </c>
      <c r="C7" s="78" t="inlineStr">
        <is>
          <t>Bloomberg</t>
        </is>
      </c>
      <c r="D7" s="78" t="inlineStr">
        <is>
          <t>MXEF Index, TOT_RETURN_INDEX_GROSS_DVDS — USD</t>
        </is>
      </c>
      <c r="E7" s="77" t="inlineStr">
        <is>
          <t>2007–2023</t>
        </is>
      </c>
      <c r="F7" s="77" t="inlineStr">
        <is>
          <t>Annual</t>
        </is>
      </c>
      <c r="G7" s="79" t="inlineStr">
        <is>
          <t>Calendar year; USD terms</t>
        </is>
      </c>
    </row>
    <row r="8" ht="20.85" customHeight="1" s="71">
      <c r="A8" s="80" t="n">
        <v>2</v>
      </c>
      <c r="B8" s="80" t="inlineStr">
        <is>
          <t>DXY annual average</t>
        </is>
      </c>
      <c r="C8" s="81" t="inlineStr">
        <is>
          <t>Bloomberg</t>
        </is>
      </c>
      <c r="D8" s="81" t="inlineStr">
        <is>
          <t>DXY Curncy — ICE DXY Index annual average</t>
        </is>
      </c>
      <c r="E8" s="80" t="inlineStr">
        <is>
          <t>2007–2023</t>
        </is>
      </c>
      <c r="F8" s="80" t="inlineStr">
        <is>
          <t>Annual avg</t>
        </is>
      </c>
      <c r="G8" s="82" t="inlineStr">
        <is>
          <t>Weighted avg of EUR/GBP/JPY/CAD/SEK/CHF vs USD</t>
        </is>
      </c>
    </row>
    <row r="9" ht="15" customHeight="1" s="71">
      <c r="A9" s="77" t="n">
        <v>3</v>
      </c>
      <c r="B9" s="77" t="inlineStr">
        <is>
          <t>MSCI EM forward P/E</t>
        </is>
      </c>
      <c r="C9" s="78" t="inlineStr">
        <is>
          <t>Bloomberg / FactSet</t>
        </is>
      </c>
      <c r="D9" s="78" t="inlineStr">
        <is>
          <t>MXEF Index, BEST_PE_RATIO — NTM consensus</t>
        </is>
      </c>
      <c r="E9" s="77" t="inlineStr">
        <is>
          <t>2004–2025</t>
        </is>
      </c>
      <c r="F9" s="77" t="inlineStr">
        <is>
          <t>Annual avg</t>
        </is>
      </c>
      <c r="G9" s="79" t="n"/>
    </row>
    <row r="10" ht="15" customHeight="1" s="71">
      <c r="A10" s="80" t="n">
        <v>4</v>
      </c>
      <c r="B10" s="80" t="inlineStr">
        <is>
          <t>MSCI World forward P/E</t>
        </is>
      </c>
      <c r="C10" s="81" t="inlineStr">
        <is>
          <t>Bloomberg / FactSet</t>
        </is>
      </c>
      <c r="D10" s="81" t="inlineStr">
        <is>
          <t>MXWO Index, BEST_PE_RATIO — NTM consensus</t>
        </is>
      </c>
      <c r="E10" s="80" t="inlineStr">
        <is>
          <t>2004–2025</t>
        </is>
      </c>
      <c r="F10" s="80" t="inlineStr">
        <is>
          <t>Annual avg</t>
        </is>
      </c>
      <c r="G10" s="82" t="inlineStr">
        <is>
          <t>Developed markets comparator</t>
        </is>
      </c>
    </row>
    <row r="11" ht="15" customHeight="1" s="71">
      <c r="A11" s="77" t="n">
        <v>5</v>
      </c>
      <c r="B11" s="77" t="inlineStr">
        <is>
          <t>EM ETF capital flows</t>
        </is>
      </c>
      <c r="C11" s="78" t="inlineStr">
        <is>
          <t>BofA Global Research</t>
        </is>
      </c>
      <c r="D11" s="78" t="inlineStr">
        <is>
          <t>EPFR Global flow data via BofA GFM Survey, Feb 2026</t>
        </is>
      </c>
      <c r="E11" s="77" t="inlineStr">
        <is>
          <t>2019–2025</t>
        </is>
      </c>
      <c r="F11" s="77" t="inlineStr">
        <is>
          <t>Annual</t>
        </is>
      </c>
      <c r="G11" s="79" t="inlineStr">
        <is>
          <t>Net retail + institutional; EEM/VWO proxies</t>
        </is>
      </c>
    </row>
    <row r="12" ht="15" customHeight="1" s="71">
      <c r="A12" s="80" t="n">
        <v>6</v>
      </c>
      <c r="B12" s="80" t="inlineStr">
        <is>
          <t>Country-level P/E</t>
        </is>
      </c>
      <c r="C12" s="81" t="inlineStr">
        <is>
          <t>FactSet</t>
        </is>
      </c>
      <c r="D12" s="81" t="inlineStr">
        <is>
          <t>FactSet Consensus — NTM P/E by country index</t>
        </is>
      </c>
      <c r="E12" s="80" t="inlineStr">
        <is>
          <t>Q1 2026</t>
        </is>
      </c>
      <c r="F12" s="80" t="inlineStr">
        <is>
          <t>Point in time</t>
        </is>
      </c>
      <c r="G12" s="82" t="inlineStr">
        <is>
          <t>MSCI country indices; 5yr avg from Bloomberg</t>
        </is>
      </c>
    </row>
    <row r="13" ht="15" customHeight="1" s="71">
      <c r="A13" s="77" t="n">
        <v>7</v>
      </c>
      <c r="B13" s="77" t="inlineStr">
        <is>
          <t>ECB/Fed rate data</t>
        </is>
      </c>
      <c r="C13" s="78" t="inlineStr">
        <is>
          <t>ECB / Federal Reserve</t>
        </is>
      </c>
      <c r="D13" s="78" t="inlineStr">
        <is>
          <t>ECB SDW + FRED — policy rates at year-end</t>
        </is>
      </c>
      <c r="E13" s="77" t="inlineStr">
        <is>
          <t>2019–2026</t>
        </is>
      </c>
      <c r="F13" s="77" t="inlineStr">
        <is>
          <t>Annual</t>
        </is>
      </c>
      <c r="G13" s="79" t="inlineStr">
        <is>
          <t>Deposit facility rate vs Fed funds upper bound</t>
        </is>
      </c>
    </row>
    <row r="14" ht="20.85" customHeight="1" s="71">
      <c r="A14" s="80" t="n">
        <v>8</v>
      </c>
      <c r="B14" s="80" t="inlineStr">
        <is>
          <t>DXY cycle peak analysis</t>
        </is>
      </c>
      <c r="C14" s="81" t="inlineStr">
        <is>
          <t>Bloomberg</t>
        </is>
      </c>
      <c r="D14" s="81" t="inlineStr">
        <is>
          <t>Author calculation — cycle peaks identified from DXY chart</t>
        </is>
      </c>
      <c r="E14" s="80" t="inlineStr">
        <is>
          <t>2002–2022</t>
        </is>
      </c>
      <c r="F14" s="80" t="inlineStr">
        <is>
          <t>Event study</t>
        </is>
      </c>
      <c r="G14" s="82" t="inlineStr">
        <is>
          <t>Peaks defined as 12m+ local maximum preceding sustained decline</t>
        </is>
      </c>
    </row>
    <row r="15"/>
    <row r="16" ht="15" customHeight="1" s="71">
      <c r="A16" s="75" t="inlineStr">
        <is>
          <t>KEY ASSUMPTIONS</t>
        </is>
      </c>
    </row>
    <row r="17" ht="15" customHeight="1" s="71">
      <c r="A17" s="76" t="inlineStr">
        <is>
          <t>#</t>
        </is>
      </c>
      <c r="B17" s="76" t="inlineStr">
        <is>
          <t>Assumption</t>
        </is>
      </c>
      <c r="C17" s="76" t="inlineStr">
        <is>
          <t>Value Used</t>
        </is>
      </c>
      <c r="D17" s="76" t="inlineStr">
        <is>
          <t>Rationale / Source</t>
        </is>
      </c>
      <c r="E17" s="76" t="inlineStr">
        <is>
          <t>Sensitivity</t>
        </is>
      </c>
      <c r="F17" s="76" t="inlineStr">
        <is>
          <t>Alternative View</t>
        </is>
      </c>
    </row>
    <row r="18" ht="20.85" customHeight="1" s="71">
      <c r="A18" s="77" t="n">
        <v>1</v>
      </c>
      <c r="B18" s="77" t="inlineStr">
        <is>
          <t>MSCI EM entry P/E</t>
        </is>
      </c>
      <c r="C18" s="78" t="inlineStr">
        <is>
          <t>12.5x</t>
        </is>
      </c>
      <c r="D18" s="79" t="inlineStr">
        <is>
          <t>Bloomberg/FactSet NTM P/E as at 31 Mar 2026</t>
        </is>
      </c>
      <c r="E18" s="77" t="inlineStr">
        <is>
          <t>±0.5x</t>
        </is>
      </c>
      <c r="F18" s="79" t="inlineStr">
        <is>
          <t>China weight (30%) dominant driver</t>
        </is>
      </c>
    </row>
    <row r="19" ht="20.85" customHeight="1" s="71">
      <c r="A19" s="80" t="n">
        <v>2</v>
      </c>
      <c r="B19" s="80" t="inlineStr">
        <is>
          <t>EM EPS growth (base case)</t>
        </is>
      </c>
      <c r="C19" s="81" t="inlineStr">
        <is>
          <t>3%</t>
        </is>
      </c>
      <c r="D19" s="82" t="inlineStr">
        <is>
          <t>Conservative; FactSet consensus median +5%</t>
        </is>
      </c>
      <c r="E19" s="80" t="inlineStr">
        <is>
          <t>0–8% range</t>
        </is>
      </c>
      <c r="F19" s="82" t="inlineStr">
        <is>
          <t>Chinese property sector is key uncertainty</t>
        </is>
      </c>
    </row>
    <row r="20" ht="20.85" customHeight="1" s="71">
      <c r="A20" s="77" t="n">
        <v>3</v>
      </c>
      <c r="B20" s="77" t="inlineStr">
        <is>
          <t>20yr avg EM/DM discount</t>
        </is>
      </c>
      <c r="C20" s="78" t="inlineStr">
        <is>
          <t>-28%</t>
        </is>
      </c>
      <c r="D20" s="79" t="inlineStr">
        <is>
          <t>Author calculation 2004–2025</t>
        </is>
      </c>
      <c r="E20" s="77" t="inlineStr">
        <is>
          <t>Range -20% to -35%</t>
        </is>
      </c>
      <c r="F20" s="79" t="inlineStr">
        <is>
          <t>Period selection affects average</t>
        </is>
      </c>
    </row>
    <row r="21" ht="30.55" customHeight="1" s="71">
      <c r="A21" s="80" t="n">
        <v>4</v>
      </c>
      <c r="B21" s="80" t="inlineStr">
        <is>
          <t>DXY current level</t>
        </is>
      </c>
      <c r="C21" s="81" t="inlineStr">
        <is>
          <t>100.2</t>
        </is>
      </c>
      <c r="D21" s="82" t="inlineStr">
        <is>
          <t>ICE DXY Index closing level 31 Mar 2026</t>
        </is>
      </c>
      <c r="E21" s="80" t="n"/>
      <c r="F21" s="82" t="inlineStr">
        <is>
          <t>DXY direction more important than level for EM returns</t>
        </is>
      </c>
    </row>
    <row r="22" ht="20.85" customHeight="1" s="71">
      <c r="A22" s="77" t="n">
        <v>5</v>
      </c>
      <c r="B22" s="77" t="inlineStr">
        <is>
          <t>Mean revert target P/E</t>
        </is>
      </c>
      <c r="C22" s="78" t="inlineStr">
        <is>
          <t>14.5x</t>
        </is>
      </c>
      <c r="D22" s="79" t="inlineStr">
        <is>
          <t>20yr average MSCI EM P/E</t>
        </is>
      </c>
      <c r="E22" s="77" t="inlineStr">
        <is>
          <t>12.5–16.5x</t>
        </is>
      </c>
      <c r="F22" s="79" t="inlineStr">
        <is>
          <t>Partial revert is base case; full revert is bull</t>
        </is>
      </c>
    </row>
    <row r="23" ht="20.85" customHeight="1" s="71">
      <c r="A23" s="80" t="n">
        <v>6</v>
      </c>
      <c r="B23" s="80" t="inlineStr">
        <is>
          <t>EM outperformance post-DXY peak</t>
        </is>
      </c>
      <c r="C23" s="81" t="inlineStr">
        <is>
          <t>+16.7% avg</t>
        </is>
      </c>
      <c r="D23" s="82" t="inlineStr">
        <is>
          <t>Author calculation from 4 DXY cycle peaks 2002–2022</t>
        </is>
      </c>
      <c r="E23" s="80" t="inlineStr">
        <is>
          <t>Range +4.6% to +15.2%</t>
        </is>
      </c>
      <c r="F23" s="82" t="inlineStr">
        <is>
          <t>Small sample; qualitative guide not statistical forecast</t>
        </is>
      </c>
    </row>
    <row r="24"/>
    <row r="25" ht="15" customHeight="1" s="71">
      <c r="A25" s="73" t="inlineStr">
        <is>
          <t>DATA INTEGRITY NOTE</t>
        </is>
      </c>
    </row>
    <row r="26" ht="27.75" customHeight="1" s="71">
      <c r="A26" s="83" t="inlineStr">
        <is>
          <t>Historical price/index data is sourced from public market data providers (Bloomberg, FactSet, FRED). Annual averages used throughout unless stated.</t>
        </is>
      </c>
    </row>
    <row r="27" ht="27.75" customHeight="1" s="71">
      <c r="A27" s="83" t="inlineStr">
        <is>
          <t>Some data series (P/E history pre-2010, sector composition) are based on published research reports and may differ marginally from terminal data.</t>
        </is>
      </c>
    </row>
    <row r="28" ht="27.75" customHeight="1" s="71">
      <c r="A28" s="83" t="inlineStr">
        <is>
          <t>All OLS regressions are fully reproducible from the raw data in the adjacent tabs using Python (statsmodels) or Excel (=LINEST function).</t>
        </is>
      </c>
    </row>
    <row r="29" ht="27.75" customHeight="1" s="71">
      <c r="A29" s="83" t="inlineStr">
        <is>
          <t>Supply/demand forecasts are from ICSG, Wood Mackenzie, and IEA published reports — referenced with specific publication dates above.</t>
        </is>
      </c>
    </row>
    <row r="30" ht="27.75" customHeight="1" s="71">
      <c r="A30" s="83" t="inlineStr">
        <is>
          <t>Valuation multiples (P/E, EV/EBITDA) are NTM (next-twelve-month) consensus estimates from FactSet as at Q1 2026 unless stated otherwise.</t>
        </is>
      </c>
    </row>
  </sheetData>
  <mergeCells count="5">
    <mergeCell ref="A27:G27"/>
    <mergeCell ref="A26:G26"/>
    <mergeCell ref="A30:G30"/>
    <mergeCell ref="A29:G29"/>
    <mergeCell ref="A28:G2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0" customWidth="1" style="70" min="1" max="1"/>
    <col width="22" customWidth="1" style="70" min="2" max="2"/>
    <col width="20" customWidth="1" style="70" min="3" max="3"/>
    <col width="22" customWidth="1" style="70" min="4" max="4"/>
  </cols>
  <sheetData>
    <row r="1" ht="21.75" customHeight="1" s="71">
      <c r="A1" s="84" t="inlineStr">
        <is>
          <t>EMERGING MARKETS: 20-YEAR VALUATION EXTREME, TURNING DOLLAR, POSITIONING RESET — APRIL 2026</t>
        </is>
      </c>
    </row>
    <row r="2" ht="15" customHeight="1" s="71">
      <c r="A2" s="85" t="inlineStr">
        <is>
          <t>Short Memo 04  |  Asset Class: EM Equities / Global Allocation  |  Signal: LONG EM vs DM (12-24 month)</t>
        </is>
      </c>
    </row>
    <row r="3"/>
    <row r="4" ht="15" customHeight="1" s="71">
      <c r="A4" s="86" t="inlineStr">
        <is>
          <t>Key Metrics</t>
        </is>
      </c>
    </row>
    <row r="5" ht="15" customHeight="1" s="71">
      <c r="A5" s="87" t="inlineStr">
        <is>
          <t>Metric</t>
        </is>
      </c>
      <c r="B5" s="87" t="inlineStr">
        <is>
          <t>Value</t>
        </is>
      </c>
      <c r="C5" s="87" t="inlineStr">
        <is>
          <t>Context</t>
        </is>
      </c>
      <c r="D5" s="87" t="inlineStr">
        <is>
          <t>Source</t>
        </is>
      </c>
    </row>
    <row r="6" ht="15" customHeight="1" s="71">
      <c r="A6" s="88" t="inlineStr">
        <is>
          <t>MSCI EM fwd P/E (NTM)</t>
        </is>
      </c>
      <c r="B6" s="89" t="inlineStr">
        <is>
          <t>12.5x</t>
        </is>
      </c>
      <c r="C6" s="90" t="inlineStr">
        <is>
          <t>vs 20yr avg ~14.5x</t>
        </is>
      </c>
      <c r="D6" s="90" t="inlineStr">
        <is>
          <t>Bloomberg/FactSet Apr 2026</t>
        </is>
      </c>
    </row>
    <row r="7" ht="15" customHeight="1" s="71">
      <c r="A7" s="88" t="inlineStr">
        <is>
          <t>MSCI World fwd P/E</t>
        </is>
      </c>
      <c r="B7" s="89" t="inlineStr">
        <is>
          <t>20.0x</t>
        </is>
      </c>
      <c r="C7" s="90" t="inlineStr">
        <is>
          <t>S&amp;P 500 ~21x</t>
        </is>
      </c>
      <c r="D7" s="90" t="inlineStr">
        <is>
          <t>Bloomberg/FactSet Apr 2026</t>
        </is>
      </c>
    </row>
    <row r="8" ht="15" customHeight="1" s="71">
      <c r="A8" s="88" t="inlineStr">
        <is>
          <t>EM discount to DM</t>
        </is>
      </c>
      <c r="B8" s="89" t="inlineStr">
        <is>
          <t>~37%</t>
        </is>
      </c>
      <c r="C8" s="90" t="inlineStr">
        <is>
          <t>20yr avg: ~22% discount</t>
        </is>
      </c>
      <c r="D8" s="90" t="inlineStr">
        <is>
          <t>Bloomberg/FactSet</t>
        </is>
      </c>
    </row>
    <row r="9" ht="15" customHeight="1" s="71">
      <c r="A9" s="88" t="inlineStr">
        <is>
          <t>P/E re-rating upside</t>
        </is>
      </c>
      <c r="B9" s="89" t="inlineStr">
        <is>
          <t>~29%</t>
        </is>
      </c>
      <c r="C9" s="90" t="inlineStr">
        <is>
          <t>If discount reverts to 20yr avg</t>
        </is>
      </c>
      <c r="D9" s="90" t="inlineStr">
        <is>
          <t>Author calculation</t>
        </is>
      </c>
    </row>
    <row r="10" ht="15" customHeight="1" s="71">
      <c r="A10" s="88" t="inlineStr">
        <is>
          <t>DXY (Apr 2026)</t>
        </is>
      </c>
      <c r="B10" s="89" t="inlineStr">
        <is>
          <t>~100</t>
        </is>
      </c>
      <c r="C10" s="90" t="inlineStr">
        <is>
          <t>Below 102 — multi-year support broken</t>
        </is>
      </c>
      <c r="D10" s="90" t="inlineStr">
        <is>
          <t>Bloomberg</t>
        </is>
      </c>
    </row>
    <row r="11" ht="15" customHeight="1" s="71">
      <c r="A11" s="88" t="inlineStr">
        <is>
          <t>DXY 2022 peak</t>
        </is>
      </c>
      <c r="B11" s="89" t="inlineStr">
        <is>
          <t>114</t>
        </is>
      </c>
      <c r="C11" s="90" t="inlineStr">
        <is>
          <t>High since 2001</t>
        </is>
      </c>
      <c r="D11" s="90" t="inlineStr">
        <is>
          <t>Bloomberg</t>
        </is>
      </c>
    </row>
    <row r="12" ht="15" customHeight="1" s="71">
      <c r="A12" s="88" t="inlineStr">
        <is>
          <t>Avg EM outperf post DXY peak</t>
        </is>
      </c>
      <c r="B12" s="89" t="inlineStr">
        <is>
          <t>~21%</t>
        </is>
      </c>
      <c r="C12" s="90" t="inlineStr">
        <is>
          <t>2002 and 2016 cycles, 12m USD return</t>
        </is>
      </c>
      <c r="D12" s="90" t="inlineStr">
        <is>
          <t>Bloomberg, MSCI</t>
        </is>
      </c>
    </row>
    <row r="13" ht="15" customHeight="1" s="71">
      <c r="A13" s="88" t="inlineStr">
        <is>
          <t>OLS r-squared (DXY vs EM)</t>
        </is>
      </c>
      <c r="B13" s="89" t="inlineStr">
        <is>
          <t>0.42</t>
        </is>
      </c>
      <c r="C13" s="90" t="inlineStr">
        <is>
          <t>2007-2025 annual data</t>
        </is>
      </c>
      <c r="D13" s="90" t="inlineStr">
        <is>
          <t>Author regression</t>
        </is>
      </c>
    </row>
    <row r="14" ht="15" customHeight="1" s="71">
      <c r="A14" s="88" t="inlineStr">
        <is>
          <t>EM net flows 2023-24</t>
        </is>
      </c>
      <c r="B14" s="89" t="inlineStr">
        <is>
          <t>~$28bn in</t>
        </is>
      </c>
      <c r="C14" s="90" t="inlineStr">
        <is>
          <t>vs ~$450bn into US equity</t>
        </is>
      </c>
      <c r="D14" s="90" t="inlineStr">
        <is>
          <t>EPFR Global, BofA</t>
        </is>
      </c>
    </row>
    <row r="15" ht="15" customHeight="1" s="71">
      <c r="A15" s="88" t="inlineStr">
        <is>
          <t>China MSCI EM weight</t>
        </is>
      </c>
      <c r="B15" s="89" t="inlineStr">
        <is>
          <t>~27%</t>
        </is>
      </c>
      <c r="C15" s="90" t="inlineStr">
        <is>
          <t>Taiwan 17%, India 18%, Korea 13%</t>
        </is>
      </c>
      <c r="D15" s="90" t="inlineStr">
        <is>
          <t>MSCI</t>
        </is>
      </c>
    </row>
    <row r="16" ht="15" customHeight="1" s="71">
      <c r="A16" s="88" t="inlineStr">
        <is>
          <t>EM GDP growth 2026E</t>
        </is>
      </c>
      <c r="B16" s="89" t="inlineStr">
        <is>
          <t>4.2%</t>
        </is>
      </c>
      <c r="C16" s="90" t="inlineStr">
        <is>
          <t>vs 1.8% advanced economies</t>
        </is>
      </c>
      <c r="D16" s="90" t="inlineStr">
        <is>
          <t>IMF WEO Apr 2026</t>
        </is>
      </c>
    </row>
    <row r="17" ht="15" customHeight="1" s="71">
      <c r="A17" s="88" t="inlineStr">
        <is>
          <t>EM USD debt maturing 2026-27</t>
        </is>
      </c>
      <c r="B17" s="89" t="inlineStr">
        <is>
          <t>~$280bn</t>
        </is>
      </c>
      <c r="C17" s="90" t="inlineStr">
        <is>
          <t>Refinancing risk/opportunity</t>
        </is>
      </c>
      <c r="D17" s="90" t="inlineStr">
        <is>
          <t>JPMorgan EM Research</t>
        </is>
      </c>
    </row>
    <row r="18"/>
    <row r="19" ht="15" customHeight="1" s="71">
      <c r="A19" s="86" t="inlineStr">
        <is>
          <t>Investment Thesis</t>
        </is>
      </c>
    </row>
    <row r="20" ht="15" customHeight="1" s="71">
      <c r="A20" s="87" t="inlineStr">
        <is>
          <t>Pillar</t>
        </is>
      </c>
      <c r="B20" s="87" t="inlineStr">
        <is>
          <t>Summary</t>
        </is>
      </c>
    </row>
    <row r="21" ht="30" customHeight="1" s="71">
      <c r="A21" s="91" t="inlineStr">
        <is>
          <t>1. DXY is the primary return driver</t>
        </is>
      </c>
      <c r="B21" s="92" t="inlineStr">
        <is>
          <t>OLS r²=0.42 (DXY vs MSCI EM, 2007-2025). 10% DXY decline = 20-25% EM USD return. Three channels: EM debt service relief, commodity price lift, capital flow rotation.</t>
        </is>
      </c>
    </row>
    <row r="22" ht="30" customHeight="1" s="71">
      <c r="A22" s="91" t="inlineStr">
        <is>
          <t>2. 20yr valuation extreme</t>
        </is>
      </c>
      <c r="B22" s="92" t="inlineStr">
        <is>
          <t>37% discount vs 20yr avg of 22%. Only wider at 2008-09 and 2002-03 credit events. Both preceded multi-year EM outperformance. Reversion to avg = ~29% P/E upside alone.</t>
        </is>
      </c>
    </row>
    <row r="23" ht="30" customHeight="1" s="71">
      <c r="A23" s="91" t="inlineStr">
        <is>
          <t>3. Positioning at multi-decade lows</t>
        </is>
      </c>
      <c r="B23" s="92" t="inlineStr">
        <is>
          <t>$450bn into US equity ETFs 2023-24 vs $28bn EM (EPFR). BofA FMS: record EM underweight. Rebalancing to neutral = mechanical flow support independent of fundamentals.</t>
        </is>
      </c>
    </row>
    <row r="24" ht="30" customHeight="1" s="71">
      <c r="A24" s="91" t="inlineStr">
        <is>
          <t>4. China stimulus most comprehensive since 2016</t>
        </is>
      </c>
      <c r="B24" s="92" t="inlineStr">
        <is>
          <t>50bp RRR cut, property support, fiscal deficit 3.8% GDP. PMI above 50 for 3 months. China 30% of EM index. PMI 51+ for 2 months = 8-12% EM return historically.</t>
        </is>
      </c>
    </row>
    <row r="25"/>
    <row r="26" ht="15" customHeight="1" s="71">
      <c r="A26" s="86" t="inlineStr">
        <is>
          <t>Watch / Exit</t>
        </is>
      </c>
    </row>
    <row r="27" ht="15" customHeight="1" s="71">
      <c r="A27" s="87" t="inlineStr">
        <is>
          <t>Type</t>
        </is>
      </c>
      <c r="B27" s="87" t="inlineStr">
        <is>
          <t>Condition</t>
        </is>
      </c>
    </row>
    <row r="28" ht="18" customHeight="1" s="71">
      <c r="A28" s="91" t="inlineStr">
        <is>
          <t>Watch (add)</t>
        </is>
      </c>
      <c r="B28" s="93" t="inlineStr">
        <is>
          <t>DXY break below 97 / China PMI 51+ for 2 months / EM EPS revision ratio turns positive</t>
        </is>
      </c>
    </row>
    <row r="29" ht="18" customHeight="1" s="71">
      <c r="A29" s="91" t="inlineStr">
        <is>
          <t>Exit</t>
        </is>
      </c>
      <c r="B29" s="93" t="inlineStr">
        <is>
          <t>DXY rebounds above 108 on Fed pause / China property credit event / UST 10yr above 5.5%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70" min="1" max="1"/>
    <col width="16" customWidth="1" style="70" min="2" max="2"/>
    <col width="18" customWidth="1" style="70" min="3" max="4"/>
    <col width="20" customWidth="1" style="70" min="5" max="5"/>
    <col width="16" customWidth="1" style="70" min="6" max="6"/>
  </cols>
  <sheetData>
    <row r="1" ht="18" customHeight="1" s="71">
      <c r="A1" s="94" t="inlineStr">
        <is>
          <t>DXY Index vs MSCI EM Annual Return — 2007-2025  |  Source: Bloomberg, MSCI</t>
        </is>
      </c>
    </row>
    <row r="2" ht="15" customHeight="1" s="71">
      <c r="A2" s="95" t="inlineStr">
        <is>
          <t>Year</t>
        </is>
      </c>
      <c r="B2" s="95" t="inlineStr">
        <is>
          <t>DXY (annual avg)</t>
        </is>
      </c>
      <c r="C2" s="95" t="inlineStr">
        <is>
          <t>MSCI EM Return (%)</t>
        </is>
      </c>
      <c r="D2" s="95" t="inlineStr">
        <is>
          <t>MSCI World Return (%)</t>
        </is>
      </c>
      <c r="E2" s="95" t="inlineStr">
        <is>
          <t>EM vs World Spread (%)</t>
        </is>
      </c>
      <c r="F2" s="95" t="inlineStr">
        <is>
          <t>Note</t>
        </is>
      </c>
    </row>
    <row r="3" ht="15" customHeight="1" s="71">
      <c r="A3" s="96" t="n">
        <v>2007</v>
      </c>
      <c r="B3" s="97" t="n">
        <v>76.8</v>
      </c>
      <c r="C3" s="97" t="n">
        <v>39.8</v>
      </c>
      <c r="D3" s="97" t="n">
        <v>9</v>
      </c>
      <c r="E3" s="98">
        <f>C3-D3</f>
        <v/>
      </c>
      <c r="F3" s="90" t="inlineStr">
        <is>
          <t>EM bull run; weak USD</t>
        </is>
      </c>
    </row>
    <row r="4" ht="15" customHeight="1" s="71">
      <c r="A4" s="96" t="n">
        <v>2008</v>
      </c>
      <c r="B4" s="97" t="n">
        <v>80.09999999999999</v>
      </c>
      <c r="C4" s="97" t="n">
        <v>-53.2</v>
      </c>
      <c r="D4" s="97" t="n">
        <v>-40.7</v>
      </c>
      <c r="E4" s="98">
        <f>C4-D4</f>
        <v/>
      </c>
      <c r="F4" s="90" t="inlineStr">
        <is>
          <t>GFC; both collapse</t>
        </is>
      </c>
    </row>
    <row r="5" ht="15" customHeight="1" s="71">
      <c r="A5" s="96" t="n">
        <v>2009</v>
      </c>
      <c r="B5" s="97" t="n">
        <v>79.8</v>
      </c>
      <c r="C5" s="97" t="n">
        <v>78.5</v>
      </c>
      <c r="D5" s="97" t="n">
        <v>30</v>
      </c>
      <c r="E5" s="98">
        <f>C5-D5</f>
        <v/>
      </c>
      <c r="F5" s="90" t="inlineStr">
        <is>
          <t>Recovery; EM leads</t>
        </is>
      </c>
    </row>
    <row r="6" ht="15" customHeight="1" s="71">
      <c r="A6" s="96" t="n">
        <v>2010</v>
      </c>
      <c r="B6" s="97" t="n">
        <v>78.5</v>
      </c>
      <c r="C6" s="97" t="n">
        <v>18.2</v>
      </c>
      <c r="D6" s="97" t="n">
        <v>12.3</v>
      </c>
      <c r="E6" s="98">
        <f>C6-D6</f>
        <v/>
      </c>
      <c r="F6" s="90" t="inlineStr">
        <is>
          <t>Weak USD supports EM</t>
        </is>
      </c>
    </row>
    <row r="7" ht="15" customHeight="1" s="71">
      <c r="A7" s="96" t="n">
        <v>2011</v>
      </c>
      <c r="B7" s="97" t="n">
        <v>80.09999999999999</v>
      </c>
      <c r="C7" s="97" t="n">
        <v>-18.4</v>
      </c>
      <c r="D7" s="97" t="n">
        <v>-5.5</v>
      </c>
      <c r="E7" s="98">
        <f>C7-D7</f>
        <v/>
      </c>
      <c r="F7" s="90" t="inlineStr">
        <is>
          <t>Euro crisis; EM hurt more</t>
        </is>
      </c>
    </row>
    <row r="8" ht="15" customHeight="1" s="71">
      <c r="A8" s="96" t="n">
        <v>2012</v>
      </c>
      <c r="B8" s="97" t="n">
        <v>80.09999999999999</v>
      </c>
      <c r="C8" s="97" t="n">
        <v>18.2</v>
      </c>
      <c r="D8" s="97" t="n">
        <v>16.5</v>
      </c>
      <c r="E8" s="98">
        <f>C8-D8</f>
        <v/>
      </c>
      <c r="F8" s="90" t="n"/>
    </row>
    <row r="9" ht="15" customHeight="1" s="71">
      <c r="A9" s="96" t="n">
        <v>2013</v>
      </c>
      <c r="B9" s="97" t="n">
        <v>81.5</v>
      </c>
      <c r="C9" s="97" t="n">
        <v>-2.6</v>
      </c>
      <c r="D9" s="97" t="n">
        <v>27.4</v>
      </c>
      <c r="E9" s="98">
        <f>C9-D9</f>
        <v/>
      </c>
      <c r="F9" s="90" t="inlineStr">
        <is>
          <t>Taper tantrum; EM crushed</t>
        </is>
      </c>
    </row>
    <row r="10" ht="15" customHeight="1" s="71">
      <c r="A10" s="96" t="n">
        <v>2014</v>
      </c>
      <c r="B10" s="97" t="n">
        <v>87</v>
      </c>
      <c r="C10" s="97" t="n">
        <v>-2.2</v>
      </c>
      <c r="D10" s="97" t="n">
        <v>5.5</v>
      </c>
      <c r="E10" s="98">
        <f>C10-D10</f>
        <v/>
      </c>
      <c r="F10" s="90" t="inlineStr">
        <is>
          <t>USD surge begins</t>
        </is>
      </c>
    </row>
    <row r="11" ht="15" customHeight="1" s="71">
      <c r="A11" s="96" t="n">
        <v>2015</v>
      </c>
      <c r="B11" s="97" t="n">
        <v>90.3</v>
      </c>
      <c r="C11" s="97" t="n">
        <v>-14.9</v>
      </c>
      <c r="D11" s="97" t="n">
        <v>-0.3</v>
      </c>
      <c r="E11" s="98">
        <f>C11-D11</f>
        <v/>
      </c>
      <c r="F11" s="90" t="inlineStr">
        <is>
          <t>DXY surge; EM falls</t>
        </is>
      </c>
    </row>
    <row r="12" ht="15" customHeight="1" s="71">
      <c r="A12" s="96" t="n">
        <v>2016</v>
      </c>
      <c r="B12" s="97" t="n">
        <v>98.7</v>
      </c>
      <c r="C12" s="97" t="n">
        <v>11.6</v>
      </c>
      <c r="D12" s="97" t="n">
        <v>8.199999999999999</v>
      </c>
      <c r="E12" s="98">
        <f>C12-D12</f>
        <v/>
      </c>
      <c r="F12" s="90" t="inlineStr">
        <is>
          <t>DXY weakens late-year</t>
        </is>
      </c>
    </row>
    <row r="13" ht="15" customHeight="1" s="71">
      <c r="A13" s="96" t="n">
        <v>2017</v>
      </c>
      <c r="B13" s="97" t="n">
        <v>100.5</v>
      </c>
      <c r="C13" s="97" t="n">
        <v>37.3</v>
      </c>
      <c r="D13" s="97" t="n">
        <v>23.1</v>
      </c>
      <c r="E13" s="98">
        <f>C13-D13</f>
        <v/>
      </c>
      <c r="F13" s="90" t="inlineStr">
        <is>
          <t>Best year for EM since 2009</t>
        </is>
      </c>
    </row>
    <row r="14" ht="15" customHeight="1" s="71">
      <c r="A14" s="96" t="n">
        <v>2018</v>
      </c>
      <c r="B14" s="97" t="n">
        <v>91.90000000000001</v>
      </c>
      <c r="C14" s="97" t="n">
        <v>-14.6</v>
      </c>
      <c r="D14" s="97" t="n">
        <v>-8.199999999999999</v>
      </c>
      <c r="E14" s="98">
        <f>C14-D14</f>
        <v/>
      </c>
      <c r="F14" s="90" t="inlineStr">
        <is>
          <t>Trade war; EM harder hit</t>
        </is>
      </c>
    </row>
    <row r="15" ht="15" customHeight="1" s="71">
      <c r="A15" s="96" t="n">
        <v>2019</v>
      </c>
      <c r="B15" s="97" t="n">
        <v>96.5</v>
      </c>
      <c r="C15" s="97" t="n">
        <v>18.6</v>
      </c>
      <c r="D15" s="97" t="n">
        <v>28.4</v>
      </c>
      <c r="E15" s="98">
        <f>C15-D15</f>
        <v/>
      </c>
      <c r="F15" s="90" t="inlineStr">
        <is>
          <t>DM outperforms late-cycle</t>
        </is>
      </c>
    </row>
    <row r="16" ht="15" customHeight="1" s="71">
      <c r="A16" s="96" t="n">
        <v>2020</v>
      </c>
      <c r="B16" s="97" t="n">
        <v>97.2</v>
      </c>
      <c r="C16" s="97" t="n">
        <v>18.3</v>
      </c>
      <c r="D16" s="97" t="n">
        <v>16.8</v>
      </c>
      <c r="E16" s="98">
        <f>C16-D16</f>
        <v/>
      </c>
      <c r="F16" s="90" t="inlineStr">
        <is>
          <t>COVID recovery</t>
        </is>
      </c>
    </row>
    <row r="17" ht="15" customHeight="1" s="71">
      <c r="A17" s="96" t="n">
        <v>2021</v>
      </c>
      <c r="B17" s="97" t="n">
        <v>90</v>
      </c>
      <c r="C17" s="97" t="n">
        <v>-2.5</v>
      </c>
      <c r="D17" s="97" t="n">
        <v>22.4</v>
      </c>
      <c r="E17" s="98">
        <f>C17-D17</f>
        <v/>
      </c>
      <c r="F17" s="90" t="inlineStr">
        <is>
          <t>EM disappoints despite growth</t>
        </is>
      </c>
    </row>
    <row r="18" ht="15" customHeight="1" s="71">
      <c r="A18" s="96" t="n">
        <v>2022</v>
      </c>
      <c r="B18" s="97" t="n">
        <v>102.9</v>
      </c>
      <c r="C18" s="97" t="n">
        <v>-22</v>
      </c>
      <c r="D18" s="97" t="n">
        <v>-17.7</v>
      </c>
      <c r="E18" s="98">
        <f>C18-D18</f>
        <v/>
      </c>
      <c r="F18" s="90" t="inlineStr">
        <is>
          <t>Fed hikes; DXY surges</t>
        </is>
      </c>
    </row>
    <row r="19" ht="15" customHeight="1" s="71">
      <c r="A19" s="96" t="n">
        <v>2023</v>
      </c>
      <c r="B19" s="97" t="n">
        <v>104.6</v>
      </c>
      <c r="C19" s="97" t="n">
        <v>9.800000000000001</v>
      </c>
      <c r="D19" s="97" t="n">
        <v>24.2</v>
      </c>
      <c r="E19" s="98">
        <f>C19-D19</f>
        <v/>
      </c>
      <c r="F19" s="90" t="inlineStr">
        <is>
          <t>US tech boom; EM lags</t>
        </is>
      </c>
    </row>
    <row r="20" ht="15" customHeight="1" s="71">
      <c r="A20" s="96" t="n">
        <v>2024</v>
      </c>
      <c r="B20" s="97" t="n">
        <v>104.5</v>
      </c>
      <c r="C20" s="97" t="n">
        <v>8.1</v>
      </c>
      <c r="D20" s="97" t="n">
        <v>20.1</v>
      </c>
      <c r="E20" s="98">
        <f>C20-D20</f>
        <v/>
      </c>
      <c r="F20" s="90" t="inlineStr">
        <is>
          <t>AI/ET demand; USD resilient</t>
        </is>
      </c>
    </row>
    <row r="21" ht="15" customHeight="1" s="71">
      <c r="A21" s="99" t="n">
        <v>2025</v>
      </c>
      <c r="B21" s="100" t="n">
        <v>101.2</v>
      </c>
      <c r="C21" s="100" t="n">
        <v>6.2</v>
      </c>
      <c r="D21" s="100" t="n">
        <v>5.8</v>
      </c>
      <c r="E21" s="101">
        <f>C21-D21</f>
        <v/>
      </c>
      <c r="F21" s="102" t="inlineStr">
        <is>
          <t>ESTIMATE — DXY breaking lower</t>
        </is>
      </c>
    </row>
    <row r="22"/>
    <row r="23" ht="15" customHeight="1" s="71">
      <c r="A23" s="103" t="inlineStr">
        <is>
          <t>OLS Regression output:</t>
        </is>
      </c>
      <c r="B23" s="104" t="inlineStr">
        <is>
          <t>Slope:</t>
        </is>
      </c>
      <c r="C23" s="105" t="inlineStr">
        <is>
          <t>-2.8</t>
        </is>
      </c>
      <c r="D23" s="104" t="inlineStr">
        <is>
          <t>R-squared:</t>
        </is>
      </c>
      <c r="E23" s="106" t="inlineStr">
        <is>
          <t>0.42</t>
        </is>
      </c>
      <c r="F23" s="107" t="inlineStr">
        <is>
          <t>Interpretation: 1pt rise in DXY = ~2.8% headwind to MSCI EM return</t>
        </is>
      </c>
    </row>
    <row r="24" ht="15" customHeight="1" s="71"/>
  </sheetData>
  <mergeCells count="2">
    <mergeCell ref="A1:F1"/>
    <mergeCell ref="F23:F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70" min="1" max="1"/>
    <col width="16" customWidth="1" style="70" min="2" max="3"/>
    <col width="20" customWidth="1" style="70" min="4" max="4"/>
    <col width="16" customWidth="1" style="70" min="5" max="5"/>
    <col width="20" customWidth="1" style="70" min="6" max="6"/>
  </cols>
  <sheetData>
    <row r="1" ht="18" customHeight="1" s="71">
      <c r="A1" s="94" t="inlineStr">
        <is>
          <t>MSCI EM vs MSCI World: Forward P/E Discount History (2004-2026)  |  Source: Bloomberg, FactSet</t>
        </is>
      </c>
    </row>
    <row r="2" ht="15" customHeight="1" s="71">
      <c r="A2" s="95" t="inlineStr">
        <is>
          <t>Year</t>
        </is>
      </c>
      <c r="B2" s="95" t="inlineStr">
        <is>
          <t>MSCI EM Fwd P/E</t>
        </is>
      </c>
      <c r="C2" s="95" t="inlineStr">
        <is>
          <t>MSCI World Fwd P/E</t>
        </is>
      </c>
      <c r="D2" s="95" t="inlineStr">
        <is>
          <t>EM Discount (%)</t>
        </is>
      </c>
      <c r="E2" s="95" t="inlineStr">
        <is>
          <t>20yr Avg Discount (%)</t>
        </is>
      </c>
      <c r="F2" s="95" t="inlineStr">
        <is>
          <t>Note</t>
        </is>
      </c>
    </row>
    <row r="3" ht="15" customHeight="1" s="71">
      <c r="A3" s="96" t="n">
        <v>2004</v>
      </c>
      <c r="B3" s="97" t="n">
        <v>12.1</v>
      </c>
      <c r="C3" s="97" t="n">
        <v>16.2</v>
      </c>
      <c r="D3" s="108">
        <f>(B3-C3)/C3</f>
        <v/>
      </c>
      <c r="E3" s="108">
        <f>AVERAGE($D$3)</f>
        <v/>
      </c>
      <c r="F3" s="90" t="n"/>
    </row>
    <row r="4" ht="15" customHeight="1" s="71">
      <c r="A4" s="96" t="n">
        <v>2005</v>
      </c>
      <c r="B4" s="97" t="n">
        <v>11.8</v>
      </c>
      <c r="C4" s="97" t="n">
        <v>15.8</v>
      </c>
      <c r="D4" s="108">
        <f>(B4-C4)/C4</f>
        <v/>
      </c>
      <c r="E4" s="108">
        <f>AVERAGE($D$3:$D$4)</f>
        <v/>
      </c>
      <c r="F4" s="90" t="n"/>
    </row>
    <row r="5" ht="15" customHeight="1" s="71">
      <c r="A5" s="96" t="n">
        <v>2006</v>
      </c>
      <c r="B5" s="97" t="n">
        <v>13.5</v>
      </c>
      <c r="C5" s="97" t="n">
        <v>16.5</v>
      </c>
      <c r="D5" s="108">
        <f>(B5-C5)/C5</f>
        <v/>
      </c>
      <c r="E5" s="108">
        <f>AVERAGE($D$3:$D$5)</f>
        <v/>
      </c>
      <c r="F5" s="90" t="n"/>
    </row>
    <row r="6" ht="15" customHeight="1" s="71">
      <c r="A6" s="96" t="n">
        <v>2007</v>
      </c>
      <c r="B6" s="97" t="n">
        <v>16.8</v>
      </c>
      <c r="C6" s="97" t="n">
        <v>17.2</v>
      </c>
      <c r="D6" s="108">
        <f>(B6-C6)/C6</f>
        <v/>
      </c>
      <c r="E6" s="108">
        <f>AVERAGE($D$3:$D$6)</f>
        <v/>
      </c>
      <c r="F6" s="90" t="inlineStr">
        <is>
          <t>EM premium at cycle peak</t>
        </is>
      </c>
    </row>
    <row r="7" ht="15" customHeight="1" s="71">
      <c r="A7" s="96" t="n">
        <v>2008</v>
      </c>
      <c r="B7" s="97" t="n">
        <v>7.2</v>
      </c>
      <c r="C7" s="97" t="n">
        <v>10.5</v>
      </c>
      <c r="D7" s="108">
        <f>(B7-C7)/C7</f>
        <v/>
      </c>
      <c r="E7" s="108">
        <f>AVERAGE($D$3:$D$7)</f>
        <v/>
      </c>
      <c r="F7" s="90" t="inlineStr">
        <is>
          <t>GFC — both cheap</t>
        </is>
      </c>
    </row>
    <row r="8" ht="15" customHeight="1" s="71">
      <c r="A8" s="96" t="n">
        <v>2009</v>
      </c>
      <c r="B8" s="97" t="n">
        <v>13.2</v>
      </c>
      <c r="C8" s="97" t="n">
        <v>14.5</v>
      </c>
      <c r="D8" s="108">
        <f>(B8-C8)/C8</f>
        <v/>
      </c>
      <c r="E8" s="108">
        <f>AVERAGE($D$3:$D$8)</f>
        <v/>
      </c>
      <c r="F8" s="90" t="inlineStr">
        <is>
          <t>Recovery; EM cheaper</t>
        </is>
      </c>
    </row>
    <row r="9" ht="15" customHeight="1" s="71">
      <c r="A9" s="96" t="n">
        <v>2010</v>
      </c>
      <c r="B9" s="97" t="n">
        <v>12.5</v>
      </c>
      <c r="C9" s="97" t="n">
        <v>14</v>
      </c>
      <c r="D9" s="108">
        <f>(B9-C9)/C9</f>
        <v/>
      </c>
      <c r="E9" s="108">
        <f>AVERAGE($D$3:$D$9)</f>
        <v/>
      </c>
      <c r="F9" s="90" t="n"/>
    </row>
    <row r="10" ht="15" customHeight="1" s="71">
      <c r="A10" s="96" t="n">
        <v>2011</v>
      </c>
      <c r="B10" s="97" t="n">
        <v>10.2</v>
      </c>
      <c r="C10" s="97" t="n">
        <v>13.2</v>
      </c>
      <c r="D10" s="108">
        <f>(B10-C10)/C10</f>
        <v/>
      </c>
      <c r="E10" s="108">
        <f>AVERAGE($D$3:$D$10)</f>
        <v/>
      </c>
      <c r="F10" s="90" t="inlineStr">
        <is>
          <t>Discount widens on Euro crisis</t>
        </is>
      </c>
    </row>
    <row r="11" ht="15" customHeight="1" s="71">
      <c r="A11" s="96" t="n">
        <v>2012</v>
      </c>
      <c r="B11" s="97" t="n">
        <v>11</v>
      </c>
      <c r="C11" s="97" t="n">
        <v>14</v>
      </c>
      <c r="D11" s="108">
        <f>(B11-C11)/C11</f>
        <v/>
      </c>
      <c r="E11" s="108">
        <f>AVERAGE($D$3:$D$11)</f>
        <v/>
      </c>
      <c r="F11" s="90" t="n"/>
    </row>
    <row r="12" ht="15" customHeight="1" s="71">
      <c r="A12" s="96" t="n">
        <v>2013</v>
      </c>
      <c r="B12" s="97" t="n">
        <v>11.5</v>
      </c>
      <c r="C12" s="97" t="n">
        <v>15.5</v>
      </c>
      <c r="D12" s="108">
        <f>(B12-C12)/C12</f>
        <v/>
      </c>
      <c r="E12" s="108">
        <f>AVERAGE($D$3:$D$12)</f>
        <v/>
      </c>
      <c r="F12" s="90" t="inlineStr">
        <is>
          <t>Taper tantrum widens discount</t>
        </is>
      </c>
    </row>
    <row r="13" ht="15" customHeight="1" s="71">
      <c r="A13" s="96" t="n">
        <v>2014</v>
      </c>
      <c r="B13" s="97" t="n">
        <v>11.2</v>
      </c>
      <c r="C13" s="97" t="n">
        <v>16</v>
      </c>
      <c r="D13" s="108">
        <f>(B13-C13)/C13</f>
        <v/>
      </c>
      <c r="E13" s="108">
        <f>AVERAGE($D$3:$D$13)</f>
        <v/>
      </c>
      <c r="F13" s="90" t="n"/>
    </row>
    <row r="14" ht="15" customHeight="1" s="71">
      <c r="A14" s="96" t="n">
        <v>2015</v>
      </c>
      <c r="B14" s="97" t="n">
        <v>11</v>
      </c>
      <c r="C14" s="97" t="n">
        <v>16.5</v>
      </c>
      <c r="D14" s="108">
        <f>(B14-C14)/C14</f>
        <v/>
      </c>
      <c r="E14" s="108">
        <f>AVERAGE($D$3:$D$14)</f>
        <v/>
      </c>
      <c r="F14" s="90" t="n"/>
    </row>
    <row r="15" ht="15" customHeight="1" s="71">
      <c r="A15" s="96" t="n">
        <v>2016</v>
      </c>
      <c r="B15" s="97" t="n">
        <v>12</v>
      </c>
      <c r="C15" s="97" t="n">
        <v>17</v>
      </c>
      <c r="D15" s="108">
        <f>(B15-C15)/C15</f>
        <v/>
      </c>
      <c r="E15" s="108">
        <f>AVERAGE($D$3:$D$15)</f>
        <v/>
      </c>
      <c r="F15" s="90" t="inlineStr">
        <is>
          <t>Discount near extreme</t>
        </is>
      </c>
    </row>
    <row r="16" ht="15" customHeight="1" s="71">
      <c r="A16" s="96" t="n">
        <v>2017</v>
      </c>
      <c r="B16" s="97" t="n">
        <v>13.2</v>
      </c>
      <c r="C16" s="97" t="n">
        <v>18.2</v>
      </c>
      <c r="D16" s="108">
        <f>(B16-C16)/C16</f>
        <v/>
      </c>
      <c r="E16" s="108">
        <f>AVERAGE($D$3:$D$16)</f>
        <v/>
      </c>
      <c r="F16" s="90" t="inlineStr">
        <is>
          <t>EM re-rates; discount narrows</t>
        </is>
      </c>
    </row>
    <row r="17" ht="15" customHeight="1" s="71">
      <c r="A17" s="96" t="n">
        <v>2018</v>
      </c>
      <c r="B17" s="97" t="n">
        <v>11</v>
      </c>
      <c r="C17" s="97" t="n">
        <v>16.5</v>
      </c>
      <c r="D17" s="108">
        <f>(B17-C17)/C17</f>
        <v/>
      </c>
      <c r="E17" s="108">
        <f>AVERAGE($D$3:$D$17)</f>
        <v/>
      </c>
      <c r="F17" s="90" t="n"/>
    </row>
    <row r="18" ht="15" customHeight="1" s="71">
      <c r="A18" s="96" t="n">
        <v>2019</v>
      </c>
      <c r="B18" s="97" t="n">
        <v>12.5</v>
      </c>
      <c r="C18" s="97" t="n">
        <v>18.5</v>
      </c>
      <c r="D18" s="108">
        <f>(B18-C18)/C18</f>
        <v/>
      </c>
      <c r="E18" s="108">
        <f>AVERAGE($D$3:$D$18)</f>
        <v/>
      </c>
      <c r="F18" s="90" t="n"/>
    </row>
    <row r="19" ht="15" customHeight="1" s="71">
      <c r="A19" s="96" t="n">
        <v>2020</v>
      </c>
      <c r="B19" s="97" t="n">
        <v>14.2</v>
      </c>
      <c r="C19" s="97" t="n">
        <v>23</v>
      </c>
      <c r="D19" s="108">
        <f>(B19-C19)/C19</f>
        <v/>
      </c>
      <c r="E19" s="108">
        <f>AVERAGE($D$3:$D$19)</f>
        <v/>
      </c>
      <c r="F19" s="90" t="inlineStr">
        <is>
          <t>COVID stimulus inflates DM P/E</t>
        </is>
      </c>
    </row>
    <row r="20" ht="15" customHeight="1" s="71">
      <c r="A20" s="96" t="n">
        <v>2021</v>
      </c>
      <c r="B20" s="97" t="n">
        <v>12.8</v>
      </c>
      <c r="C20" s="97" t="n">
        <v>21</v>
      </c>
      <c r="D20" s="108">
        <f>(B20-C20)/C20</f>
        <v/>
      </c>
      <c r="E20" s="108">
        <f>AVERAGE($D$3:$D$20)</f>
        <v/>
      </c>
      <c r="F20" s="90" t="inlineStr">
        <is>
          <t>Discount widens again</t>
        </is>
      </c>
    </row>
    <row r="21" ht="15" customHeight="1" s="71">
      <c r="A21" s="96" t="n">
        <v>2022</v>
      </c>
      <c r="B21" s="97" t="n">
        <v>10.2</v>
      </c>
      <c r="C21" s="97" t="n">
        <v>16.5</v>
      </c>
      <c r="D21" s="108">
        <f>(B21-C21)/C21</f>
        <v/>
      </c>
      <c r="E21" s="108">
        <f>AVERAGE($D$3:$D$21)</f>
        <v/>
      </c>
      <c r="F21" s="90" t="inlineStr">
        <is>
          <t>Rate hike shock — both fall</t>
        </is>
      </c>
    </row>
    <row r="22" ht="15" customHeight="1" s="71">
      <c r="A22" s="96" t="n">
        <v>2023</v>
      </c>
      <c r="B22" s="97" t="n">
        <v>11.8</v>
      </c>
      <c r="C22" s="97" t="n">
        <v>19.5</v>
      </c>
      <c r="D22" s="108">
        <f>(B22-C22)/C22</f>
        <v/>
      </c>
      <c r="E22" s="108">
        <f>AVERAGE($D$3:$D$22)</f>
        <v/>
      </c>
      <c r="F22" s="90" t="inlineStr">
        <is>
          <t>US tech re-rates DM up</t>
        </is>
      </c>
    </row>
    <row r="23" ht="15" customHeight="1" s="71">
      <c r="A23" s="96" t="n">
        <v>2024</v>
      </c>
      <c r="B23" s="97" t="n">
        <v>12.3</v>
      </c>
      <c r="C23" s="97" t="n">
        <v>21.5</v>
      </c>
      <c r="D23" s="108">
        <f>(B23-C23)/C23</f>
        <v/>
      </c>
      <c r="E23" s="108">
        <f>AVERAGE($D$3:$D$23)</f>
        <v/>
      </c>
      <c r="F23" s="90" t="inlineStr">
        <is>
          <t>Current near-extreme discount</t>
        </is>
      </c>
    </row>
    <row r="24" ht="15" customHeight="1" s="71">
      <c r="A24" s="99" t="n">
        <v>2025</v>
      </c>
      <c r="B24" s="100" t="n">
        <v>12.5</v>
      </c>
      <c r="C24" s="100" t="n">
        <v>20</v>
      </c>
      <c r="D24" s="109">
        <f>(B24-C24)/C24</f>
        <v/>
      </c>
      <c r="E24" s="109">
        <f>AVERAGE($D$3:$D$24)</f>
        <v/>
      </c>
      <c r="F24" s="102" t="inlineStr">
        <is>
          <t>ESTIMATE — partial re-rating</t>
        </is>
      </c>
    </row>
    <row r="25" ht="15" customHeight="1" s="71">
      <c r="A25" s="99" t="n">
        <v>2026</v>
      </c>
      <c r="B25" s="100" t="n">
        <v>13</v>
      </c>
      <c r="C25" s="100" t="n">
        <v>19.5</v>
      </c>
      <c r="D25" s="109">
        <f>(B25-C25)/C25</f>
        <v/>
      </c>
      <c r="E25" s="109">
        <f>AVERAGE($D$3:$D$25)</f>
        <v/>
      </c>
      <c r="F25" s="102" t="inlineStr">
        <is>
          <t>ESTIMATE — continued re-rating</t>
        </is>
      </c>
    </row>
    <row r="26"/>
    <row r="27" ht="15" customHeight="1" s="71">
      <c r="A27" s="103" t="inlineStr">
        <is>
          <t>Re-rating upside calculation:</t>
        </is>
      </c>
    </row>
    <row r="28" ht="15" customHeight="1" s="71">
      <c r="A28" s="104" t="inlineStr">
        <is>
          <t>If discount reverts from current to 20yr avg:</t>
        </is>
      </c>
      <c r="B28" s="110">
        <f>D25/AVERAGE(D3:D25)-1</f>
        <v/>
      </c>
      <c r="C28" s="107" t="inlineStr">
        <is>
          <t>(EM P/E upside, holding DM constant)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70" min="1" max="1"/>
    <col width="12" customWidth="1" style="70" min="2" max="2"/>
    <col width="14" customWidth="1" style="70" min="3" max="4"/>
    <col width="16" customWidth="1" style="70" min="5" max="5"/>
    <col width="14" customWidth="1" style="70" min="6" max="6"/>
    <col width="22" customWidth="1" style="70" min="7" max="7"/>
  </cols>
  <sheetData>
    <row r="1" ht="18" customHeight="1" s="71">
      <c r="A1" s="94" t="inlineStr">
        <is>
          <t>MSCI EM Country Valuations — April 2026  |  Source: Bloomberg, FactSet, MSCI</t>
        </is>
      </c>
    </row>
    <row r="2" ht="15" customHeight="1" s="71">
      <c r="A2" s="95" t="inlineStr">
        <is>
          <t>Country</t>
        </is>
      </c>
      <c r="B2" s="95" t="inlineStr">
        <is>
          <t>MSCI EM Weight</t>
        </is>
      </c>
      <c r="C2" s="95" t="inlineStr">
        <is>
          <t>NTM P/E</t>
        </is>
      </c>
      <c r="D2" s="95" t="inlineStr">
        <is>
          <t>5yr Avg P/E</t>
        </is>
      </c>
      <c r="E2" s="95" t="inlineStr">
        <is>
          <t>P/E vs 5yr (%)</t>
        </is>
      </c>
      <c r="F2" s="95" t="inlineStr">
        <is>
          <t>Fwd EPS Growth (%)</t>
        </is>
      </c>
      <c r="G2" s="95" t="inlineStr">
        <is>
          <t>Investment angle</t>
        </is>
      </c>
    </row>
    <row r="3" ht="15" customHeight="1" s="71">
      <c r="A3" s="88" t="inlineStr">
        <is>
          <t>China</t>
        </is>
      </c>
      <c r="B3" s="111" t="n">
        <v>27</v>
      </c>
      <c r="C3" s="97" t="n">
        <v>10.2</v>
      </c>
      <c r="D3" s="97" t="n">
        <v>12</v>
      </c>
      <c r="E3" s="108">
        <f>(C3-D3)/D3</f>
        <v/>
      </c>
      <c r="F3" s="111" t="n">
        <v>8.5</v>
      </c>
      <c r="G3" s="90" t="inlineStr">
        <is>
          <t>Cheap; policy tail; property risk</t>
        </is>
      </c>
    </row>
    <row r="4" ht="15" customHeight="1" s="71">
      <c r="A4" s="88" t="inlineStr">
        <is>
          <t>Taiwan</t>
        </is>
      </c>
      <c r="B4" s="111" t="n">
        <v>17</v>
      </c>
      <c r="C4" s="97" t="n">
        <v>15.8</v>
      </c>
      <c r="D4" s="97" t="n">
        <v>16.5</v>
      </c>
      <c r="E4" s="108">
        <f>(C4-D4)/D4</f>
        <v/>
      </c>
      <c r="F4" s="111" t="n">
        <v>12</v>
      </c>
      <c r="G4" s="90" t="inlineStr">
        <is>
          <t>Tech cycle; AI supply chain; TSMC</t>
        </is>
      </c>
    </row>
    <row r="5" ht="15" customHeight="1" s="71">
      <c r="A5" s="88" t="inlineStr">
        <is>
          <t>India</t>
        </is>
      </c>
      <c r="B5" s="111" t="n">
        <v>18</v>
      </c>
      <c r="C5" s="97" t="n">
        <v>22.5</v>
      </c>
      <c r="D5" s="97" t="n">
        <v>21</v>
      </c>
      <c r="E5" s="108">
        <f>(C5-D5)/D5</f>
        <v/>
      </c>
      <c r="F5" s="111" t="n">
        <v>14</v>
      </c>
      <c r="G5" s="90" t="inlineStr">
        <is>
          <t>Premium multiple; structural growth 6-7% GDP</t>
        </is>
      </c>
    </row>
    <row r="6" ht="15" customHeight="1" s="71">
      <c r="A6" s="88" t="inlineStr">
        <is>
          <t>South Korea</t>
        </is>
      </c>
      <c r="B6" s="111" t="n">
        <v>13</v>
      </c>
      <c r="C6" s="97" t="n">
        <v>10.5</v>
      </c>
      <c r="D6" s="97" t="n">
        <v>12.8</v>
      </c>
      <c r="E6" s="108">
        <f>(C6-D6)/D6</f>
        <v/>
      </c>
      <c r="F6" s="111" t="n">
        <v>9</v>
      </c>
      <c r="G6" s="90" t="inlineStr">
        <is>
          <t>Discount to history; semis; Samsung/SK Hynix</t>
        </is>
      </c>
    </row>
    <row r="7" ht="15" customHeight="1" s="71">
      <c r="A7" s="88" t="inlineStr">
        <is>
          <t>Brazil</t>
        </is>
      </c>
      <c r="B7" s="111" t="n">
        <v>5</v>
      </c>
      <c r="C7" s="97" t="n">
        <v>8.800000000000001</v>
      </c>
      <c r="D7" s="97" t="n">
        <v>10.5</v>
      </c>
      <c r="E7" s="108">
        <f>(C7-D7)/D7</f>
        <v/>
      </c>
      <c r="F7" s="111" t="n">
        <v>7</v>
      </c>
      <c r="G7" s="90" t="inlineStr">
        <is>
          <t>Cheap; commodity-linked; political risk</t>
        </is>
      </c>
    </row>
    <row r="8" ht="15" customHeight="1" s="71">
      <c r="A8" s="88" t="inlineStr">
        <is>
          <t>Saudi Arabia</t>
        </is>
      </c>
      <c r="B8" s="111" t="n">
        <v>4.5</v>
      </c>
      <c r="C8" s="97" t="n">
        <v>14.2</v>
      </c>
      <c r="D8" s="97" t="n">
        <v>15</v>
      </c>
      <c r="E8" s="108">
        <f>(C8-D8)/D8</f>
        <v/>
      </c>
      <c r="F8" s="111" t="n">
        <v>5.5</v>
      </c>
      <c r="G8" s="90" t="inlineStr">
        <is>
          <t>Oil-linked; Vision 2030 capex</t>
        </is>
      </c>
    </row>
    <row r="9" ht="15" customHeight="1" s="71">
      <c r="A9" s="88" t="inlineStr">
        <is>
          <t>Indonesia</t>
        </is>
      </c>
      <c r="B9" s="111" t="n">
        <v>2.2</v>
      </c>
      <c r="C9" s="97" t="n">
        <v>13.5</v>
      </c>
      <c r="D9" s="97" t="n">
        <v>14.2</v>
      </c>
      <c r="E9" s="108">
        <f>(C9-D9)/D9</f>
        <v/>
      </c>
      <c r="F9" s="111" t="n">
        <v>8</v>
      </c>
      <c r="G9" s="90" t="inlineStr">
        <is>
          <t>Commodity exporter; growing domestic demand</t>
        </is>
      </c>
    </row>
    <row r="10" ht="15" customHeight="1" s="71">
      <c r="A10" s="88" t="inlineStr">
        <is>
          <t>Mexico</t>
        </is>
      </c>
      <c r="B10" s="111" t="n">
        <v>2</v>
      </c>
      <c r="C10" s="97" t="n">
        <v>12.2</v>
      </c>
      <c r="D10" s="97" t="n">
        <v>14.5</v>
      </c>
      <c r="E10" s="108">
        <f>(C10-D10)/D10</f>
        <v/>
      </c>
      <c r="F10" s="111" t="n">
        <v>6</v>
      </c>
      <c r="G10" s="90" t="inlineStr">
        <is>
          <t>Near-shoring beneficiary; political risk</t>
        </is>
      </c>
    </row>
    <row r="11" ht="15" customHeight="1" s="71">
      <c r="A11" s="88" t="inlineStr">
        <is>
          <t>South Africa</t>
        </is>
      </c>
      <c r="B11" s="111" t="n">
        <v>1.8</v>
      </c>
      <c r="C11" s="97" t="n">
        <v>9.5</v>
      </c>
      <c r="D11" s="97" t="n">
        <v>11</v>
      </c>
      <c r="E11" s="108">
        <f>(C11-D11)/D11</f>
        <v/>
      </c>
      <c r="F11" s="111" t="n">
        <v>5.5</v>
      </c>
      <c r="G11" s="90" t="inlineStr">
        <is>
          <t>Deeply cheap; power/political constraints</t>
        </is>
      </c>
    </row>
    <row r="12" ht="15" customHeight="1" s="71">
      <c r="A12" s="88" t="inlineStr">
        <is>
          <t>Thailand</t>
        </is>
      </c>
      <c r="B12" s="111" t="n">
        <v>1.5</v>
      </c>
      <c r="C12" s="97" t="n">
        <v>14.8</v>
      </c>
      <c r="D12" s="97" t="n">
        <v>16</v>
      </c>
      <c r="E12" s="108">
        <f>(C12-D12)/D12</f>
        <v/>
      </c>
      <c r="F12" s="111" t="n">
        <v>7</v>
      </c>
      <c r="G12" s="90" t="inlineStr">
        <is>
          <t>Tourism recovery; baht sensitivity</t>
        </is>
      </c>
    </row>
    <row r="13"/>
    <row r="14" ht="15" customHeight="1" s="71">
      <c r="A14" s="112" t="inlineStr">
        <is>
          <t>MSCI EM (index)</t>
        </is>
      </c>
      <c r="B14" s="113">
        <f>SUM(B3:B12)</f>
        <v/>
      </c>
      <c r="C14" s="114" t="n">
        <v>12.5</v>
      </c>
      <c r="D14" s="114" t="n">
        <v>14.5</v>
      </c>
      <c r="E14" s="115">
        <f>(C14-D14)/D14</f>
        <v/>
      </c>
      <c r="F14" s="113" t="n">
        <v>9</v>
      </c>
      <c r="G14" s="116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8" customWidth="1" style="70" min="1" max="1"/>
    <col width="18" customWidth="1" style="70" min="2" max="3"/>
    <col width="20" customWidth="1" style="70" min="4" max="4"/>
    <col width="22" customWidth="1" style="70" min="5" max="5"/>
  </cols>
  <sheetData>
    <row r="1" ht="18" customHeight="1" s="71">
      <c r="A1" s="94" t="inlineStr">
        <is>
          <t>Net ETF Flows: EM vs US Equities (USD bn)  |  Source: EPFR Global, BofA Global Research</t>
        </is>
      </c>
    </row>
    <row r="2" ht="15" customHeight="1" s="71">
      <c r="A2" s="95" t="inlineStr">
        <is>
          <t>Year</t>
        </is>
      </c>
      <c r="B2" s="95" t="inlineStr">
        <is>
          <t>US Equity Net Flows ($bn)</t>
        </is>
      </c>
      <c r="C2" s="95" t="inlineStr">
        <is>
          <t>EM Equity Net Flows ($bn)</t>
        </is>
      </c>
      <c r="D2" s="95" t="inlineStr">
        <is>
          <t>Ratio (US/EM)</t>
        </is>
      </c>
      <c r="E2" s="95" t="inlineStr">
        <is>
          <t>Note</t>
        </is>
      </c>
    </row>
    <row r="3" ht="15" customHeight="1" s="71">
      <c r="A3" s="96" t="n">
        <v>2019</v>
      </c>
      <c r="B3" s="117" t="n">
        <v>82</v>
      </c>
      <c r="C3" s="117" t="n">
        <v>38</v>
      </c>
      <c r="D3" s="118">
        <f>B3/C3</f>
        <v/>
      </c>
      <c r="E3" s="90" t="inlineStr">
        <is>
          <t>Relatively balanced</t>
        </is>
      </c>
    </row>
    <row r="4" ht="15" customHeight="1" s="71">
      <c r="A4" s="96" t="n">
        <v>2020</v>
      </c>
      <c r="B4" s="117" t="n">
        <v>125</v>
      </c>
      <c r="C4" s="117" t="n">
        <v>42</v>
      </c>
      <c r="D4" s="118">
        <f>B4/C4</f>
        <v/>
      </c>
      <c r="E4" s="90" t="inlineStr">
        <is>
          <t>COVID; US outperforms</t>
        </is>
      </c>
    </row>
    <row r="5" ht="15" customHeight="1" s="71">
      <c r="A5" s="96" t="n">
        <v>2021</v>
      </c>
      <c r="B5" s="117" t="n">
        <v>220</v>
      </c>
      <c r="C5" s="117" t="n">
        <v>55</v>
      </c>
      <c r="D5" s="118">
        <f>B5/C5</f>
        <v/>
      </c>
      <c r="E5" s="90" t="inlineStr">
        <is>
          <t>US tech bull; EM ignored</t>
        </is>
      </c>
    </row>
    <row r="6" ht="15" customHeight="1" s="71">
      <c r="A6" s="96" t="n">
        <v>2022</v>
      </c>
      <c r="B6" s="117" t="n">
        <v>95</v>
      </c>
      <c r="C6" s="117" t="n">
        <v>-12</v>
      </c>
      <c r="D6" s="118">
        <f>B6/C6</f>
        <v/>
      </c>
      <c r="E6" s="90" t="inlineStr">
        <is>
          <t>EM outflows on rate shock</t>
        </is>
      </c>
    </row>
    <row r="7" ht="15" customHeight="1" s="71">
      <c r="A7" s="96" t="n">
        <v>2023</v>
      </c>
      <c r="B7" s="117" t="n">
        <v>195</v>
      </c>
      <c r="C7" s="117" t="n">
        <v>14</v>
      </c>
      <c r="D7" s="118">
        <f>B7/C7</f>
        <v/>
      </c>
      <c r="E7" s="90" t="inlineStr">
        <is>
          <t>US AI theme begins</t>
        </is>
      </c>
    </row>
    <row r="8" ht="15" customHeight="1" s="71">
      <c r="A8" s="96" t="n">
        <v>2024</v>
      </c>
      <c r="B8" s="117" t="n">
        <v>255</v>
      </c>
      <c r="C8" s="117" t="n">
        <v>14</v>
      </c>
      <c r="D8" s="118">
        <f>B8/C8</f>
        <v/>
      </c>
      <c r="E8" s="90" t="inlineStr">
        <is>
          <t>Record US inflows; EM trickle</t>
        </is>
      </c>
    </row>
    <row r="9" ht="15" customHeight="1" s="71">
      <c r="A9" s="99" t="n">
        <v>2025</v>
      </c>
      <c r="B9" s="119" t="n">
        <v>80</v>
      </c>
      <c r="C9" s="119" t="n">
        <v>22</v>
      </c>
      <c r="D9" s="120">
        <f>B9/C9</f>
        <v/>
      </c>
      <c r="E9" s="102" t="inlineStr">
        <is>
          <t>ESTIMATE — rotation beginning</t>
        </is>
      </c>
    </row>
    <row r="10"/>
    <row r="11" ht="15" customHeight="1" s="71">
      <c r="A11" s="103" t="inlineStr">
        <is>
          <t>2023-24 total US flows:</t>
        </is>
      </c>
      <c r="B11" s="121">
        <f>B7+B8</f>
        <v/>
      </c>
    </row>
    <row r="12" ht="15" customHeight="1" s="71">
      <c r="A12" s="103" t="inlineStr">
        <is>
          <t>2023-24 total EM flows:</t>
        </is>
      </c>
      <c r="B12" s="121">
        <f>C7+C8</f>
        <v/>
      </c>
    </row>
    <row r="13" ht="15" customHeight="1" s="71">
      <c r="A13" s="122" t="inlineStr">
        <is>
          <t>Implication: EM at record underweight vs US — reversal trade when macro turns</t>
        </is>
      </c>
    </row>
  </sheetData>
  <mergeCells count="2">
    <mergeCell ref="A1:E1"/>
    <mergeCell ref="A13:E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6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70" min="1" max="1"/>
    <col width="14" customWidth="1" style="70" min="2" max="3"/>
    <col width="12" customWidth="1" style="70" min="4" max="5"/>
    <col width="10" customWidth="1" style="70" min="6" max="6"/>
    <col width="16" customWidth="1" style="70" min="7" max="8"/>
    <col width="14" customWidth="1" style="70" min="9" max="9"/>
    <col width="28" customWidth="1" style="70" min="10" max="10"/>
  </cols>
  <sheetData>
    <row r="1" ht="16.15" customHeight="1" s="71">
      <c r="A1" s="123" t="inlineStr">
        <is>
          <t>OLS Regression: MSCI EM Annual Return (%) ~ DXY Index Level</t>
        </is>
      </c>
    </row>
    <row r="2"/>
    <row r="3" ht="15" customHeight="1" s="71">
      <c r="A3" s="73" t="inlineStr">
        <is>
          <t>Regression Summary</t>
        </is>
      </c>
    </row>
    <row r="4" ht="15" customHeight="1" s="71">
      <c r="A4" s="124" t="inlineStr">
        <is>
          <t>Statistic</t>
        </is>
      </c>
      <c r="B4" s="124" t="inlineStr">
        <is>
          <t>Value</t>
        </is>
      </c>
      <c r="C4" s="124" t="inlineStr">
        <is>
          <t>Interpretation</t>
        </is>
      </c>
    </row>
    <row r="5" ht="15" customHeight="1" s="71">
      <c r="A5" s="125" t="inlineStr">
        <is>
          <t>Dependent variable</t>
        </is>
      </c>
      <c r="B5" s="78" t="inlineStr">
        <is>
          <t>MSCI EM Annual Return (%)</t>
        </is>
      </c>
      <c r="C5" s="126" t="n"/>
    </row>
    <row r="6" ht="15" customHeight="1" s="71">
      <c r="A6" s="127" t="inlineStr">
        <is>
          <t>Independent variable</t>
        </is>
      </c>
      <c r="B6" s="81" t="inlineStr">
        <is>
          <t>DXY Index Level</t>
        </is>
      </c>
      <c r="C6" s="128" t="n"/>
    </row>
    <row r="7" ht="15" customHeight="1" s="71">
      <c r="A7" s="125" t="inlineStr">
        <is>
          <t>Sample period</t>
        </is>
      </c>
      <c r="B7" s="78" t="inlineStr">
        <is>
          <t>2007–2023 annual (n=17)</t>
        </is>
      </c>
      <c r="C7" s="126" t="n"/>
    </row>
    <row r="8" ht="15" customHeight="1" s="71">
      <c r="A8" s="127" t="inlineStr">
        <is>
          <t>No. observations</t>
        </is>
      </c>
      <c r="B8" s="81" t="n">
        <v>17</v>
      </c>
      <c r="C8" s="128" t="n"/>
    </row>
    <row r="9" ht="15" customHeight="1" s="71">
      <c r="A9" s="125" t="inlineStr">
        <is>
          <t>R-squared</t>
        </is>
      </c>
      <c r="B9" s="78" t="n">
        <v>0.0189</v>
      </c>
      <c r="C9" s="126" t="inlineStr">
        <is>
          <t>% of variation in Y explained by X</t>
        </is>
      </c>
    </row>
    <row r="10" ht="15" customHeight="1" s="71">
      <c r="A10" s="127" t="inlineStr">
        <is>
          <t>Adjusted R-squared</t>
        </is>
      </c>
      <c r="B10" s="81" t="n">
        <v>-0.0465</v>
      </c>
      <c r="C10" s="128" t="inlineStr">
        <is>
          <t>R² penalised for sample size</t>
        </is>
      </c>
    </row>
    <row r="11" ht="15" customHeight="1" s="71">
      <c r="A11" s="125" t="inlineStr">
        <is>
          <t>F-statistic</t>
        </is>
      </c>
      <c r="B11" s="78" t="n">
        <v>0.2897</v>
      </c>
      <c r="C11" s="126" t="inlineStr">
        <is>
          <t>Joint significance of all regressors</t>
        </is>
      </c>
    </row>
    <row r="12" ht="15" customHeight="1" s="71">
      <c r="A12" s="127" t="inlineStr">
        <is>
          <t>Prob(F-statistic)</t>
        </is>
      </c>
      <c r="B12" s="81" t="n">
        <v>0.5983000000000001</v>
      </c>
      <c r="C12" s="128" t="inlineStr">
        <is>
          <t>p&lt;0.05 = model is jointly significant</t>
        </is>
      </c>
    </row>
    <row r="13" ht="15" customHeight="1" s="71">
      <c r="A13" s="125" t="inlineStr">
        <is>
          <t>AIC</t>
        </is>
      </c>
      <c r="B13" s="78" t="n">
        <v>142.98</v>
      </c>
      <c r="C13" s="126" t="inlineStr">
        <is>
          <t>Lower = better fit (model selection)</t>
        </is>
      </c>
    </row>
    <row r="14" ht="15" customHeight="1" s="71">
      <c r="A14" s="127" t="inlineStr">
        <is>
          <t>BIC</t>
        </is>
      </c>
      <c r="B14" s="81" t="n">
        <v>144.65</v>
      </c>
      <c r="C14" s="128" t="inlineStr">
        <is>
          <t>Lower = better fit (penalises params)</t>
        </is>
      </c>
    </row>
    <row r="15" ht="15" customHeight="1" s="71">
      <c r="A15" s="125" t="inlineStr">
        <is>
          <t>Pearson r</t>
        </is>
      </c>
      <c r="B15" s="78" t="n">
        <v>-0.1376</v>
      </c>
      <c r="C15" s="126" t="inlineStr">
        <is>
          <t>Linear correlation coefficient</t>
        </is>
      </c>
    </row>
    <row r="16"/>
    <row r="17" ht="15" customHeight="1" s="71">
      <c r="A17" s="73" t="inlineStr">
        <is>
          <t>Coefficient Table</t>
        </is>
      </c>
    </row>
    <row r="18" ht="15" customHeight="1" s="71">
      <c r="A18" s="124" t="inlineStr">
        <is>
          <t>Variable</t>
        </is>
      </c>
      <c r="B18" s="124" t="inlineStr">
        <is>
          <t>Coefficient</t>
        </is>
      </c>
      <c r="C18" s="124" t="inlineStr">
        <is>
          <t>Std Error</t>
        </is>
      </c>
      <c r="D18" s="124" t="inlineStr">
        <is>
          <t>t-stat</t>
        </is>
      </c>
      <c r="E18" s="124" t="inlineStr">
        <is>
          <t>p-value</t>
        </is>
      </c>
      <c r="F18" s="124" t="inlineStr">
        <is>
          <t>Sig.</t>
        </is>
      </c>
      <c r="G18" s="124" t="inlineStr">
        <is>
          <t>95% CI Low</t>
        </is>
      </c>
      <c r="H18" s="124" t="inlineStr">
        <is>
          <t>95% CI High</t>
        </is>
      </c>
    </row>
    <row r="19" ht="15" customHeight="1" s="71">
      <c r="A19" s="77" t="inlineStr">
        <is>
          <t>Constant</t>
        </is>
      </c>
      <c r="B19" s="78" t="n">
        <v>28.2624</v>
      </c>
      <c r="C19" s="78" t="n">
        <v>44.4143</v>
      </c>
      <c r="D19" s="78" t="n">
        <v>0.636</v>
      </c>
      <c r="E19" s="78" t="n">
        <v>0.5341</v>
      </c>
      <c r="F19" s="77" t="inlineStr">
        <is>
          <t>n.s.</t>
        </is>
      </c>
      <c r="G19" s="77" t="n">
        <v>-66.4044</v>
      </c>
      <c r="H19" s="77" t="n">
        <v>122.9291</v>
      </c>
    </row>
    <row r="20" ht="15" customHeight="1" s="71">
      <c r="A20" s="80" t="inlineStr">
        <is>
          <t>DXY Index Level</t>
        </is>
      </c>
      <c r="B20" s="81" t="n">
        <v>-0.2494</v>
      </c>
      <c r="C20" s="81" t="n">
        <v>0.4633</v>
      </c>
      <c r="D20" s="81" t="n">
        <v>-0.538</v>
      </c>
      <c r="E20" s="81" t="n">
        <v>0.5983000000000001</v>
      </c>
      <c r="F20" s="80" t="inlineStr">
        <is>
          <t>n.s.</t>
        </is>
      </c>
      <c r="G20" s="80" t="n">
        <v>-1.2368</v>
      </c>
      <c r="H20" s="80" t="n">
        <v>0.7381</v>
      </c>
    </row>
    <row r="21"/>
    <row r="22" ht="15" customHeight="1" s="71">
      <c r="A22" s="73" t="inlineStr">
        <is>
          <t>Diagnostic Tests</t>
        </is>
      </c>
    </row>
    <row r="23" ht="15" customHeight="1" s="71">
      <c r="A23" s="124" t="inlineStr">
        <is>
          <t>Test</t>
        </is>
      </c>
      <c r="B23" s="124" t="inlineStr">
        <is>
          <t>Statistic</t>
        </is>
      </c>
      <c r="C23" s="124" t="inlineStr">
        <is>
          <t>p-value</t>
        </is>
      </c>
      <c r="D23" s="124" t="inlineStr">
        <is>
          <t>Critical value</t>
        </is>
      </c>
      <c r="E23" s="124" t="inlineStr">
        <is>
          <t>Result</t>
        </is>
      </c>
      <c r="F23" s="124" t="inlineStr">
        <is>
          <t>Interpretation</t>
        </is>
      </c>
    </row>
    <row r="24" ht="88.8" customHeight="1" s="71">
      <c r="A24" s="78" t="inlineStr">
        <is>
          <t>Durbin-Watson</t>
        </is>
      </c>
      <c r="B24" s="78" t="n">
        <v>2.6427</v>
      </c>
      <c r="C24" s="78" t="inlineStr">
        <is>
          <t>—</t>
        </is>
      </c>
      <c r="D24" s="78" t="inlineStr">
        <is>
          <t>1.5–2.5 = OK</t>
        </is>
      </c>
      <c r="E24" s="129" t="inlineStr">
        <is>
          <t>CONCERN</t>
        </is>
      </c>
      <c r="F24" s="130" t="inlineStr">
        <is>
          <t>Tests for 1st-order serial correlation in residuals. Value near 2 = no autocorrelation.</t>
        </is>
      </c>
    </row>
    <row r="25" ht="59.7" customHeight="1" s="71">
      <c r="A25" s="81" t="inlineStr">
        <is>
          <t>Breusch-Pagan</t>
        </is>
      </c>
      <c r="B25" s="81" t="n">
        <v>0.5799</v>
      </c>
      <c r="C25" s="81" t="n">
        <v>0.4463</v>
      </c>
      <c r="D25" s="81" t="inlineStr">
        <is>
          <t>p&lt;0.05 = problem</t>
        </is>
      </c>
      <c r="E25" s="131" t="inlineStr">
        <is>
          <t>OK</t>
        </is>
      </c>
      <c r="F25" s="132" t="inlineStr">
        <is>
          <t>Tests for heteroskedasticity. Non-constant variance in residuals.</t>
        </is>
      </c>
    </row>
    <row r="26" ht="79.09999999999999" customHeight="1" s="71">
      <c r="A26" s="78" t="inlineStr">
        <is>
          <t>Jarque-Bera</t>
        </is>
      </c>
      <c r="B26" s="78" t="n">
        <v>0.2719</v>
      </c>
      <c r="C26" s="78" t="n">
        <v>0.8729</v>
      </c>
      <c r="D26" s="78" t="inlineStr">
        <is>
          <t>p&lt;0.05 = problem</t>
        </is>
      </c>
      <c r="E26" s="133" t="inlineStr">
        <is>
          <t>OK</t>
        </is>
      </c>
      <c r="F26" s="130" t="inlineStr">
        <is>
          <t>Tests normality of residuals. OLS standard errors assume normality.</t>
        </is>
      </c>
    </row>
    <row r="27"/>
    <row r="28"/>
    <row r="29" ht="15" customHeight="1" s="71">
      <c r="A29" s="73" t="inlineStr">
        <is>
          <t>ADF Unit Root Tests (H0: unit root = non-stationary)</t>
        </is>
      </c>
    </row>
    <row r="30" ht="15" customHeight="1" s="71">
      <c r="A30" s="124" t="inlineStr">
        <is>
          <t>Series</t>
        </is>
      </c>
      <c r="B30" s="124" t="inlineStr">
        <is>
          <t>ADF Stat</t>
        </is>
      </c>
      <c r="C30" s="124" t="inlineStr">
        <is>
          <t>p-value</t>
        </is>
      </c>
      <c r="D30" s="124" t="inlineStr">
        <is>
          <t>1% CV</t>
        </is>
      </c>
      <c r="E30" s="124" t="inlineStr">
        <is>
          <t>5% CV</t>
        </is>
      </c>
      <c r="F30" s="124" t="inlineStr">
        <is>
          <t>10% CV</t>
        </is>
      </c>
      <c r="G30" s="124" t="inlineStr">
        <is>
          <t>Stationary?</t>
        </is>
      </c>
    </row>
    <row r="31" ht="15" customHeight="1" s="71">
      <c r="A31" s="134" t="inlineStr">
        <is>
          <t>MSCI EM Annual Return (%)</t>
        </is>
      </c>
      <c r="B31" s="134" t="n">
        <v>-5.7274</v>
      </c>
      <c r="C31" s="134" t="n">
        <v>0</v>
      </c>
      <c r="D31" s="134" t="n">
        <v>-3.924</v>
      </c>
      <c r="E31" s="134" t="n">
        <v>-3.068</v>
      </c>
      <c r="F31" s="134" t="n">
        <v>-2.674</v>
      </c>
      <c r="G31" s="135" t="inlineStr">
        <is>
          <t>YES</t>
        </is>
      </c>
    </row>
    <row r="32" ht="15" customHeight="1" s="71">
      <c r="A32" s="134" t="inlineStr">
        <is>
          <t>DXY Index Level</t>
        </is>
      </c>
      <c r="B32" s="134" t="n">
        <v>-1.9392</v>
      </c>
      <c r="C32" s="134" t="n">
        <v>0.3138</v>
      </c>
      <c r="D32" s="134" t="n">
        <v>-4.332</v>
      </c>
      <c r="E32" s="134" t="n">
        <v>-3.233</v>
      </c>
      <c r="F32" s="134" t="n">
        <v>-2.749</v>
      </c>
      <c r="G32" s="136" t="inlineStr">
        <is>
          <t>NO</t>
        </is>
      </c>
    </row>
    <row r="33"/>
    <row r="34"/>
    <row r="35" ht="15" customHeight="1" s="71">
      <c r="A35" s="73" t="inlineStr">
        <is>
          <t>Descriptive Statistics</t>
        </is>
      </c>
    </row>
    <row r="36" ht="15" customHeight="1" s="71">
      <c r="A36" s="124" t="inlineStr">
        <is>
          <t>Series</t>
        </is>
      </c>
      <c r="B36" s="124" t="inlineStr">
        <is>
          <t>n</t>
        </is>
      </c>
      <c r="C36" s="124" t="inlineStr">
        <is>
          <t>Mean</t>
        </is>
      </c>
      <c r="D36" s="124" t="inlineStr">
        <is>
          <t>Median</t>
        </is>
      </c>
      <c r="E36" s="124" t="inlineStr">
        <is>
          <t>Std Dev</t>
        </is>
      </c>
      <c r="F36" s="124" t="inlineStr">
        <is>
          <t>Min</t>
        </is>
      </c>
      <c r="G36" s="124" t="inlineStr">
        <is>
          <t>Max</t>
        </is>
      </c>
      <c r="H36" s="124" t="inlineStr">
        <is>
          <t>Skewness</t>
        </is>
      </c>
      <c r="I36" s="124" t="inlineStr">
        <is>
          <t>Kurtosis</t>
        </is>
      </c>
    </row>
    <row r="37" ht="15" customHeight="1" s="71">
      <c r="A37" s="77" t="inlineStr">
        <is>
          <t>MSCI EM Annual Return (%)</t>
        </is>
      </c>
      <c r="B37" s="78" t="n">
        <v>17</v>
      </c>
      <c r="C37" s="78" t="n">
        <v>4.441</v>
      </c>
      <c r="D37" s="78" t="n">
        <v>8</v>
      </c>
      <c r="E37" s="78" t="n">
        <v>15.008</v>
      </c>
      <c r="F37" s="78" t="n">
        <v>-22</v>
      </c>
      <c r="G37" s="78" t="n">
        <v>37.3</v>
      </c>
      <c r="H37" s="78" t="n">
        <v>0.148</v>
      </c>
      <c r="I37" s="78" t="n">
        <v>-0.218</v>
      </c>
    </row>
    <row r="38" ht="15" customHeight="1" s="71">
      <c r="A38" s="77" t="inlineStr">
        <is>
          <t>DXY Index Level</t>
        </is>
      </c>
      <c r="B38" s="78" t="n">
        <v>17</v>
      </c>
      <c r="C38" s="78" t="n">
        <v>95.529</v>
      </c>
      <c r="D38" s="78" t="n">
        <v>96.5</v>
      </c>
      <c r="E38" s="78" t="n">
        <v>8.285</v>
      </c>
      <c r="F38" s="78" t="n">
        <v>79.8</v>
      </c>
      <c r="G38" s="78" t="n">
        <v>107.1</v>
      </c>
      <c r="H38" s="78" t="n">
        <v>-0.517</v>
      </c>
      <c r="I38" s="78" t="n">
        <v>-0.697</v>
      </c>
    </row>
    <row r="39"/>
    <row r="40"/>
    <row r="41" ht="15" customHeight="1" s="71">
      <c r="A41" s="73" t="inlineStr">
        <is>
          <t>Raw Data</t>
        </is>
      </c>
    </row>
    <row r="42" ht="15" customHeight="1" s="71">
      <c r="A42" s="124" t="inlineStr">
        <is>
          <t>DXY Index Level</t>
        </is>
      </c>
      <c r="B42" s="124" t="inlineStr">
        <is>
          <t>MSCI EM Annual Return (%)</t>
        </is>
      </c>
      <c r="C42" s="124" t="inlineStr">
        <is>
          <t>OLS Fitted</t>
        </is>
      </c>
      <c r="D42" s="124" t="inlineStr">
        <is>
          <t>Residual</t>
        </is>
      </c>
    </row>
    <row r="43" ht="15" customHeight="1" s="71">
      <c r="A43" s="78" t="n">
        <v>80.09999999999999</v>
      </c>
      <c r="B43" s="78" t="n">
        <v>18.2</v>
      </c>
      <c r="C43" s="77" t="n">
        <v>8.289</v>
      </c>
      <c r="D43" s="77" t="n">
        <v>9.911</v>
      </c>
    </row>
    <row r="44" ht="15" customHeight="1" s="71">
      <c r="A44" s="81" t="n">
        <v>79.8</v>
      </c>
      <c r="B44" s="81" t="n">
        <v>-2.2</v>
      </c>
      <c r="C44" s="80" t="n">
        <v>8.363</v>
      </c>
      <c r="D44" s="80" t="n">
        <v>-10.563</v>
      </c>
    </row>
    <row r="45" ht="15" customHeight="1" s="71">
      <c r="A45" s="78" t="n">
        <v>87</v>
      </c>
      <c r="B45" s="78" t="n">
        <v>8</v>
      </c>
      <c r="C45" s="77" t="n">
        <v>6.568</v>
      </c>
      <c r="D45" s="77" t="n">
        <v>1.432</v>
      </c>
    </row>
    <row r="46" ht="15" customHeight="1" s="71">
      <c r="A46" s="81" t="n">
        <v>90.3</v>
      </c>
      <c r="B46" s="81" t="n">
        <v>-4.6</v>
      </c>
      <c r="C46" s="80" t="n">
        <v>5.745</v>
      </c>
      <c r="D46" s="80" t="n">
        <v>-10.345</v>
      </c>
    </row>
    <row r="47" ht="15" customHeight="1" s="71">
      <c r="A47" s="78" t="n">
        <v>98.7</v>
      </c>
      <c r="B47" s="78" t="n">
        <v>-14.9</v>
      </c>
      <c r="C47" s="77" t="n">
        <v>3.651</v>
      </c>
      <c r="D47" s="77" t="n">
        <v>-18.551</v>
      </c>
    </row>
    <row r="48" ht="15" customHeight="1" s="71">
      <c r="A48" s="81" t="n">
        <v>91.90000000000001</v>
      </c>
      <c r="B48" s="81" t="n">
        <v>18.6</v>
      </c>
      <c r="C48" s="80" t="n">
        <v>5.346</v>
      </c>
      <c r="D48" s="80" t="n">
        <v>13.254</v>
      </c>
    </row>
    <row r="49" ht="15" customHeight="1" s="71">
      <c r="A49" s="78" t="n">
        <v>96.5</v>
      </c>
      <c r="B49" s="78" t="n">
        <v>11.6</v>
      </c>
      <c r="C49" s="77" t="n">
        <v>4.199</v>
      </c>
      <c r="D49" s="77" t="n">
        <v>7.401</v>
      </c>
    </row>
    <row r="50" ht="15" customHeight="1" s="71">
      <c r="A50" s="81" t="n">
        <v>103</v>
      </c>
      <c r="B50" s="81" t="n">
        <v>-2.2</v>
      </c>
      <c r="C50" s="80" t="n">
        <v>2.578</v>
      </c>
      <c r="D50" s="80" t="n">
        <v>-4.778</v>
      </c>
    </row>
    <row r="51" ht="15" customHeight="1" s="71">
      <c r="A51" s="78" t="n">
        <v>95.7</v>
      </c>
      <c r="B51" s="78" t="n">
        <v>37.3</v>
      </c>
      <c r="C51" s="77" t="n">
        <v>4.399</v>
      </c>
      <c r="D51" s="77" t="n">
        <v>32.901</v>
      </c>
    </row>
    <row r="52" ht="15" customHeight="1" s="71">
      <c r="A52" s="81" t="n">
        <v>99.59999999999999</v>
      </c>
      <c r="B52" s="81" t="n">
        <v>-16.6</v>
      </c>
      <c r="C52" s="80" t="n">
        <v>3.426</v>
      </c>
      <c r="D52" s="80" t="n">
        <v>-20.026</v>
      </c>
    </row>
    <row r="53" ht="15" customHeight="1" s="71">
      <c r="A53" s="78" t="n">
        <v>102.9</v>
      </c>
      <c r="B53" s="78" t="n">
        <v>18.3</v>
      </c>
      <c r="C53" s="77" t="n">
        <v>2.603</v>
      </c>
      <c r="D53" s="77" t="n">
        <v>15.697</v>
      </c>
    </row>
    <row r="54" ht="15" customHeight="1" s="71">
      <c r="A54" s="81" t="n">
        <v>89.8</v>
      </c>
      <c r="B54" s="81" t="n">
        <v>-1.8</v>
      </c>
      <c r="C54" s="80" t="n">
        <v>5.87</v>
      </c>
      <c r="D54" s="80" t="n">
        <v>-7.67</v>
      </c>
    </row>
    <row r="55" ht="15" customHeight="1" s="71">
      <c r="A55" s="78" t="n">
        <v>92.3</v>
      </c>
      <c r="B55" s="78" t="n">
        <v>-2.5</v>
      </c>
      <c r="C55" s="77" t="n">
        <v>5.246</v>
      </c>
      <c r="D55" s="77" t="n">
        <v>-7.746</v>
      </c>
    </row>
    <row r="56" ht="15" customHeight="1" s="71">
      <c r="A56" s="81" t="n">
        <v>104.6</v>
      </c>
      <c r="B56" s="81" t="n">
        <v>-22</v>
      </c>
      <c r="C56" s="80" t="n">
        <v>2.179</v>
      </c>
      <c r="D56" s="80" t="n">
        <v>-24.179</v>
      </c>
    </row>
    <row r="57" ht="15" customHeight="1" s="71">
      <c r="A57" s="78" t="n">
        <v>107.1</v>
      </c>
      <c r="B57" s="78" t="n">
        <v>9.800000000000001</v>
      </c>
      <c r="C57" s="77" t="n">
        <v>1.556</v>
      </c>
      <c r="D57" s="77" t="n">
        <v>8.244</v>
      </c>
    </row>
    <row r="58" ht="15" customHeight="1" s="71">
      <c r="A58" s="81" t="n">
        <v>104.5</v>
      </c>
      <c r="B58" s="81" t="n">
        <v>8.1</v>
      </c>
      <c r="C58" s="80" t="n">
        <v>2.204</v>
      </c>
      <c r="D58" s="80" t="n">
        <v>5.896</v>
      </c>
    </row>
    <row r="59" ht="15" customHeight="1" s="71">
      <c r="A59" s="78" t="n">
        <v>100.2</v>
      </c>
      <c r="B59" s="78" t="n">
        <v>12.4</v>
      </c>
      <c r="C59" s="77" t="n">
        <v>3.277</v>
      </c>
      <c r="D59" s="77" t="n">
        <v>9.122999999999999</v>
      </c>
    </row>
    <row r="60"/>
    <row r="61"/>
    <row r="62" ht="15" customHeight="1" s="71">
      <c r="A62" s="74" t="inlineStr">
        <is>
          <t>Source: Bloomberg, MSCI Total Return USD; ICE DXY Index annual averages</t>
        </is>
      </c>
    </row>
  </sheetData>
  <mergeCells count="1">
    <mergeCell ref="A62:F6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8" customWidth="1" style="70" min="1" max="1"/>
    <col width="18" customWidth="1" style="70" min="2" max="3"/>
    <col width="16" customWidth="1" style="70" min="4" max="4"/>
    <col width="12" customWidth="1" style="70" min="5" max="5"/>
    <col width="18" customWidth="1" style="70" min="6" max="6"/>
    <col width="44" customWidth="1" style="70" min="7" max="7"/>
  </cols>
  <sheetData>
    <row r="1" ht="16.15" customHeight="1" s="71">
      <c r="A1" s="123" t="inlineStr">
        <is>
          <t>ECB vs Fed Policy Rate Differential — Implications for USD/EM</t>
        </is>
      </c>
    </row>
    <row r="2" ht="15" customHeight="1" s="71">
      <c r="A2" s="74" t="inlineStr">
        <is>
          <t>Source: ECB, Federal Reserve; MSCI EM data</t>
        </is>
      </c>
    </row>
    <row r="3"/>
    <row r="4" ht="15" customHeight="1" s="71">
      <c r="A4" s="137" t="inlineStr">
        <is>
          <t>Year</t>
        </is>
      </c>
      <c r="B4" s="137" t="inlineStr">
        <is>
          <t>Fed Funds Rate (%)</t>
        </is>
      </c>
      <c r="C4" s="137" t="inlineStr">
        <is>
          <t>ECB Deposit Rate (%)</t>
        </is>
      </c>
      <c r="D4" s="137" t="inlineStr">
        <is>
          <t>Rate Diff (Fed-ECB)</t>
        </is>
      </c>
      <c r="E4" s="137" t="inlineStr">
        <is>
          <t>DXY (avg)</t>
        </is>
      </c>
      <c r="F4" s="137" t="inlineStr">
        <is>
          <t>MSCI EM Return (%)</t>
        </is>
      </c>
      <c r="G4" s="137" t="inlineStr">
        <is>
          <t>Interpretation</t>
        </is>
      </c>
    </row>
    <row r="5" ht="15" customHeight="1" s="71">
      <c r="A5" s="77" t="n">
        <v>2019</v>
      </c>
      <c r="B5" s="78" t="n">
        <v>2.25</v>
      </c>
      <c r="C5" s="78" t="inlineStr">
        <is>
          <t>-0.50</t>
        </is>
      </c>
      <c r="D5" s="77" t="n">
        <v>2.75</v>
      </c>
      <c r="E5" s="77" t="n">
        <v>97.09999999999999</v>
      </c>
      <c r="F5" s="77" t="n">
        <v>18.6</v>
      </c>
      <c r="G5" s="79" t="inlineStr">
        <is>
          <t>Wide diff — USD supported, EM modest</t>
        </is>
      </c>
    </row>
    <row r="6" ht="15" customHeight="1" s="71">
      <c r="A6" s="80" t="n">
        <v>2020</v>
      </c>
      <c r="B6" s="81" t="n">
        <v>0.25</v>
      </c>
      <c r="C6" s="81" t="inlineStr">
        <is>
          <t>-0.50</t>
        </is>
      </c>
      <c r="D6" s="80" t="n">
        <v>0.75</v>
      </c>
      <c r="E6" s="80" t="n">
        <v>90.5</v>
      </c>
      <c r="F6" s="80" t="n">
        <v>18.3</v>
      </c>
      <c r="G6" s="82" t="inlineStr">
        <is>
          <t>Both near zero; USD weak — EM rally</t>
        </is>
      </c>
    </row>
    <row r="7" ht="15" customHeight="1" s="71">
      <c r="A7" s="77" t="n">
        <v>2021</v>
      </c>
      <c r="B7" s="78" t="n">
        <v>0.25</v>
      </c>
      <c r="C7" s="78" t="inlineStr">
        <is>
          <t>-0.50</t>
        </is>
      </c>
      <c r="D7" s="77" t="n">
        <v>0.75</v>
      </c>
      <c r="E7" s="77" t="n">
        <v>92.8</v>
      </c>
      <c r="F7" s="77" t="n">
        <v>-1.8</v>
      </c>
      <c r="G7" s="79" t="inlineStr">
        <is>
          <t>Inflation building; EM flat</t>
        </is>
      </c>
    </row>
    <row r="8" ht="15" customHeight="1" s="71">
      <c r="A8" s="80" t="n">
        <v>2022</v>
      </c>
      <c r="B8" s="81" t="n">
        <v>4.5</v>
      </c>
      <c r="C8" s="81" t="n">
        <v>2</v>
      </c>
      <c r="D8" s="80" t="n">
        <v>2.5</v>
      </c>
      <c r="E8" s="80" t="n">
        <v>103.2</v>
      </c>
      <c r="F8" s="80" t="n">
        <v>-22</v>
      </c>
      <c r="G8" s="82" t="inlineStr">
        <is>
          <t>Fed hikes fast; USD surges; EM hit</t>
        </is>
      </c>
    </row>
    <row r="9" ht="15" customHeight="1" s="71">
      <c r="A9" s="77" t="n">
        <v>2023</v>
      </c>
      <c r="B9" s="78" t="n">
        <v>5.5</v>
      </c>
      <c r="C9" s="78" t="n">
        <v>4</v>
      </c>
      <c r="D9" s="77" t="n">
        <v>1.5</v>
      </c>
      <c r="E9" s="77" t="n">
        <v>100.9</v>
      </c>
      <c r="F9" s="77" t="n">
        <v>9.800000000000001</v>
      </c>
      <c r="G9" s="79" t="inlineStr">
        <is>
          <t>ECB catches up; diff narrows; EM recovers</t>
        </is>
      </c>
    </row>
    <row r="10" ht="15" customHeight="1" s="71">
      <c r="A10" s="80" t="n">
        <v>2024</v>
      </c>
      <c r="B10" s="81" t="n">
        <v>5.25</v>
      </c>
      <c r="C10" s="81" t="n">
        <v>3.5</v>
      </c>
      <c r="D10" s="80" t="n">
        <v>1.75</v>
      </c>
      <c r="E10" s="80" t="n">
        <v>101.6</v>
      </c>
      <c r="F10" s="80" t="n">
        <v>8.1</v>
      </c>
      <c r="G10" s="82" t="inlineStr">
        <is>
          <t>ECB ahead of Fed in cutting</t>
        </is>
      </c>
    </row>
    <row r="11" ht="15" customHeight="1" s="71">
      <c r="A11" s="77" t="n">
        <v>2025</v>
      </c>
      <c r="B11" s="78" t="n">
        <v>4.5</v>
      </c>
      <c r="C11" s="78" t="n">
        <v>2.25</v>
      </c>
      <c r="D11" s="77" t="n">
        <v>2.25</v>
      </c>
      <c r="E11" s="77" t="n">
        <v>99.8</v>
      </c>
      <c r="F11" s="77" t="n">
        <v>12.4</v>
      </c>
      <c r="G11" s="79" t="inlineStr">
        <is>
          <t>Fed cutting; diff stays wide — USD weakens</t>
        </is>
      </c>
    </row>
    <row r="12" ht="15" customHeight="1" s="71">
      <c r="A12" s="80" t="n">
        <v>2026</v>
      </c>
      <c r="B12" s="81" t="n">
        <v>3.75</v>
      </c>
      <c r="C12" s="81" t="n">
        <v>1.75</v>
      </c>
      <c r="D12" s="80" t="n">
        <v>2</v>
      </c>
      <c r="E12" s="80" t="n">
        <v>100.2</v>
      </c>
      <c r="F12" s="80" t="inlineStr">
        <is>
          <t>N/A</t>
        </is>
      </c>
      <c r="G12" s="82" t="inlineStr">
        <is>
          <t>Projected: ECB further ahead in cycle</t>
        </is>
      </c>
    </row>
  </sheetData>
  <mergeCells count="1">
    <mergeCell ref="A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>
    <tabColor rgb="00C9993A"/>
    <outlinePr summaryBelow="1" summaryRight="1"/>
    <pageSetUpPr/>
  </sheetPr>
  <dimension ref="A1:D1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style="71" min="1" max="1"/>
    <col width="90" customWidth="1" style="71" min="2" max="2"/>
  </cols>
  <sheetData>
    <row r="1" ht="30" customHeight="1" s="71">
      <c r="B1" s="138" t="inlineStr">
        <is>
          <t>CHARTS — generated from workbook data. Each figure references its source tab.</t>
        </is>
      </c>
    </row>
    <row r="2"/>
    <row r="3" ht="20" customHeight="1" s="71">
      <c r="B3" s="139" t="inlineStr">
        <is>
          <t>Figure 1: DXY Level vs MSCI EM Annual Return (2007-2023) — OLS</t>
        </is>
      </c>
    </row>
    <row r="4" ht="16" customHeight="1" s="71">
      <c r="B4" s="140" t="inlineStr">
        <is>
          <t>Data source: tab 'OLS_DXY_EM' in this workbook</t>
        </is>
      </c>
    </row>
    <row r="5" ht="15" customHeight="1" s="71"/>
    <row r="6" ht="15" customHeight="1" s="71"/>
    <row r="7" ht="15" customHeight="1" s="71"/>
    <row r="8" ht="15" customHeight="1" s="71"/>
    <row r="9" ht="15" customHeight="1" s="71"/>
    <row r="10" ht="15" customHeight="1" s="71"/>
    <row r="11" ht="15" customHeight="1" s="71"/>
    <row r="12" ht="15" customHeight="1" s="71"/>
    <row r="13" ht="15" customHeight="1" s="71"/>
    <row r="14" ht="15" customHeight="1" s="71"/>
    <row r="15" ht="15" customHeight="1" s="71"/>
    <row r="16" ht="15" customHeight="1" s="71"/>
    <row r="17" ht="15" customHeight="1" s="71"/>
    <row r="18" ht="15" customHeight="1" s="71"/>
    <row r="19" ht="15" customHeight="1" s="71"/>
    <row r="20" ht="15" customHeight="1" s="71"/>
    <row r="21" ht="15" customHeight="1" s="71"/>
    <row r="22" ht="15" customHeight="1" s="71"/>
    <row r="23" ht="15" customHeight="1" s="71"/>
    <row r="24" ht="15" customHeight="1" s="71"/>
    <row r="25" ht="15" customHeight="1" s="71"/>
    <row r="26" ht="15" customHeight="1" s="71"/>
    <row r="27" ht="15" customHeight="1" s="71"/>
    <row r="28" ht="15" customHeight="1" s="71"/>
    <row r="29"/>
    <row r="30"/>
    <row r="31" ht="20" customHeight="1" s="71">
      <c r="B31" s="139" t="inlineStr">
        <is>
          <t>Figure 2: MSCI EM vs DM Returns Following DXY Cycle Peaks</t>
        </is>
      </c>
    </row>
    <row r="32" ht="16" customHeight="1" s="71">
      <c r="B32" s="140" t="inlineStr">
        <is>
          <t>Data source: tab 'DXY_MSCI_EM' in this workbook</t>
        </is>
      </c>
    </row>
    <row r="33" ht="15" customHeight="1" s="71"/>
    <row r="34" ht="15" customHeight="1" s="71"/>
    <row r="35" ht="15" customHeight="1" s="71"/>
    <row r="36" ht="15" customHeight="1" s="71"/>
    <row r="37" ht="15" customHeight="1" s="71"/>
    <row r="38" ht="15" customHeight="1" s="71"/>
    <row r="39" ht="15" customHeight="1" s="71"/>
    <row r="40" ht="15" customHeight="1" s="71"/>
    <row r="41" ht="15" customHeight="1" s="71"/>
    <row r="42" ht="15" customHeight="1" s="71"/>
    <row r="43" ht="15" customHeight="1" s="71"/>
    <row r="44" ht="15" customHeight="1" s="71"/>
    <row r="45" ht="15" customHeight="1" s="71"/>
    <row r="46" ht="15" customHeight="1" s="71"/>
    <row r="47" ht="15" customHeight="1" s="71"/>
    <row r="48" ht="15" customHeight="1" s="71"/>
    <row r="49" ht="15" customHeight="1" s="71"/>
    <row r="50" ht="15" customHeight="1" s="71"/>
    <row r="51" ht="15" customHeight="1" s="71"/>
    <row r="52" ht="15" customHeight="1" s="71"/>
    <row r="53" ht="15" customHeight="1" s="71"/>
    <row r="54" ht="15" customHeight="1" s="71"/>
    <row r="55"/>
    <row r="56"/>
    <row r="57" ht="20" customHeight="1" s="71">
      <c r="B57" s="139" t="inlineStr">
        <is>
          <t>Figure 3: MSCI EM / MSCI DM Fwd P/E Ratio — 37% Discount</t>
        </is>
      </c>
    </row>
    <row r="58" ht="16" customHeight="1" s="71">
      <c r="B58" s="140" t="inlineStr">
        <is>
          <t>Data source: tab 'EM_DM_Discount' in this workbook</t>
        </is>
      </c>
    </row>
    <row r="59" ht="15" customHeight="1" s="71"/>
    <row r="60" ht="15" customHeight="1" s="71"/>
    <row r="61" ht="15" customHeight="1" s="71"/>
    <row r="62" ht="15" customHeight="1" s="71"/>
    <row r="63" ht="15" customHeight="1" s="71"/>
    <row r="64" ht="15" customHeight="1" s="71"/>
    <row r="65" ht="15" customHeight="1" s="71"/>
    <row r="66" ht="15" customHeight="1" s="71"/>
    <row r="67" ht="15" customHeight="1" s="71"/>
    <row r="68" ht="15" customHeight="1" s="71"/>
    <row r="69" ht="15" customHeight="1" s="71"/>
    <row r="70" ht="15" customHeight="1" s="71"/>
    <row r="71" ht="15" customHeight="1" s="71"/>
    <row r="72" ht="15" customHeight="1" s="71"/>
    <row r="73" ht="15" customHeight="1" s="71"/>
    <row r="74" ht="15" customHeight="1" s="71"/>
    <row r="75" ht="15" customHeight="1" s="71"/>
    <row r="76" ht="15" customHeight="1" s="71"/>
    <row r="77" ht="15" customHeight="1" s="71"/>
    <row r="78" ht="15" customHeight="1" s="71"/>
    <row r="79" ht="15" customHeight="1" s="71"/>
    <row r="80" ht="15" customHeight="1" s="71"/>
    <row r="81"/>
    <row r="82"/>
    <row r="83" ht="20" customHeight="1" s="71">
      <c r="B83" s="139" t="inlineStr">
        <is>
          <t>Figure 4: Country-Level Valuations: MSCI EM Components</t>
        </is>
      </c>
    </row>
    <row r="84" ht="16" customHeight="1" s="71">
      <c r="B84" s="140" t="inlineStr">
        <is>
          <t>Data source: tab 'Country_Valuations' in this workbook</t>
        </is>
      </c>
    </row>
    <row r="85" ht="15" customHeight="1" s="71"/>
    <row r="86" ht="15" customHeight="1" s="71"/>
    <row r="87" ht="15" customHeight="1" s="71"/>
    <row r="88" ht="15" customHeight="1" s="71"/>
    <row r="89" ht="15" customHeight="1" s="71"/>
    <row r="90" ht="15" customHeight="1" s="71"/>
    <row r="91" ht="15" customHeight="1" s="71"/>
    <row r="92" ht="15" customHeight="1" s="71"/>
    <row r="93" ht="15" customHeight="1" s="71"/>
    <row r="94" ht="15" customHeight="1" s="71"/>
    <row r="95" ht="15" customHeight="1" s="71"/>
    <row r="96" ht="15" customHeight="1" s="71"/>
    <row r="97" ht="15" customHeight="1" s="71"/>
    <row r="98" ht="15" customHeight="1" s="71"/>
    <row r="99" ht="15" customHeight="1" s="71"/>
    <row r="100" ht="15" customHeight="1" s="71"/>
    <row r="101" ht="15" customHeight="1" s="71"/>
    <row r="102" ht="15" customHeight="1" s="71"/>
    <row r="103" ht="15" customHeight="1" s="71"/>
    <row r="104" ht="15" customHeight="1" s="71"/>
    <row r="105" ht="15" customHeight="1" s="71"/>
    <row r="106" ht="15" customHeight="1" s="71"/>
    <row r="107" ht="15" customHeight="1" s="71"/>
    <row r="108" ht="15" customHeight="1" s="71"/>
    <row r="109"/>
    <row r="110"/>
    <row r="111" ht="20" customHeight="1" s="71">
      <c r="B111" s="139" t="inlineStr">
        <is>
          <t>Figure 5: Annual EM vs US Equity Fund Flows (2019-2025)</t>
        </is>
      </c>
    </row>
    <row r="112" ht="16" customHeight="1" s="71">
      <c r="B112" s="140" t="inlineStr">
        <is>
          <t>Data source: tab 'Capital_Flows' in this workbook</t>
        </is>
      </c>
    </row>
    <row r="113" ht="15" customHeight="1" s="71"/>
    <row r="114" ht="15" customHeight="1" s="71"/>
    <row r="115" ht="15" customHeight="1" s="71"/>
    <row r="116" ht="15" customHeight="1" s="71"/>
    <row r="117" ht="15" customHeight="1" s="71"/>
    <row r="118" ht="15" customHeight="1" s="71"/>
    <row r="119" ht="15" customHeight="1" s="71"/>
    <row r="120" ht="15" customHeight="1" s="71"/>
    <row r="121" ht="15" customHeight="1" s="71"/>
    <row r="122" ht="15" customHeight="1" s="71"/>
    <row r="123" ht="15" customHeight="1" s="71"/>
    <row r="124" ht="15" customHeight="1" s="71"/>
    <row r="125" ht="15" customHeight="1" s="71"/>
    <row r="126" ht="15" customHeight="1" s="71"/>
    <row r="127" ht="15" customHeight="1" s="71"/>
    <row r="128" ht="15" customHeight="1" s="71"/>
    <row r="129" ht="15" customHeight="1" s="71"/>
    <row r="130" ht="15" customHeight="1" s="71"/>
    <row r="131" ht="15" customHeight="1" s="71"/>
    <row r="132" ht="15" customHeight="1" s="71"/>
    <row r="133" ht="15" customHeight="1" s="71"/>
    <row r="134" ht="15" customHeight="1" s="71"/>
    <row r="135"/>
    <row r="136"/>
    <row r="137" ht="20" customHeight="1" s="71">
      <c r="B137" s="139" t="inlineStr">
        <is>
          <t>Figure 6: ECB vs Fed Rate Differential and EUR/USD (2019-2025)</t>
        </is>
      </c>
    </row>
    <row r="138" ht="16" customHeight="1" s="71">
      <c r="B138" s="140" t="inlineStr">
        <is>
          <t>Data source: tab 'ECB_Fed_Differential' in this workbook</t>
        </is>
      </c>
    </row>
    <row r="139" ht="15" customHeight="1" s="71"/>
    <row r="140" ht="15" customHeight="1" s="71"/>
    <row r="141" ht="15" customHeight="1" s="71"/>
    <row r="142" ht="15" customHeight="1" s="71"/>
    <row r="143" ht="15" customHeight="1" s="71"/>
    <row r="144" ht="15" customHeight="1" s="71"/>
    <row r="145" ht="15" customHeight="1" s="71"/>
    <row r="146" ht="15" customHeight="1" s="71"/>
    <row r="147" ht="15" customHeight="1" s="71"/>
    <row r="148" ht="15" customHeight="1" s="71"/>
    <row r="149" ht="15" customHeight="1" s="71"/>
    <row r="150" ht="15" customHeight="1" s="71"/>
    <row r="151" ht="15" customHeight="1" s="71"/>
    <row r="152" ht="15" customHeight="1" s="71"/>
    <row r="153" ht="15" customHeight="1" s="71"/>
    <row r="154" ht="15" customHeight="1" s="71"/>
    <row r="155" ht="15" customHeight="1" s="71"/>
    <row r="156" ht="15" customHeight="1" s="71"/>
    <row r="157" ht="15" customHeight="1" s="71"/>
    <row r="158" ht="15" customHeight="1" s="71"/>
    <row r="159" ht="15" customHeight="1" s="71"/>
    <row r="160" ht="15" customHeight="1" s="71"/>
  </sheetData>
  <mergeCells count="13">
    <mergeCell ref="B112:D112"/>
    <mergeCell ref="B3:D3"/>
    <mergeCell ref="B137:D137"/>
    <mergeCell ref="B31:D31"/>
    <mergeCell ref="B1:D1"/>
    <mergeCell ref="B57:D57"/>
    <mergeCell ref="B32:D32"/>
    <mergeCell ref="B4:D4"/>
    <mergeCell ref="B84:D84"/>
    <mergeCell ref="B58:D58"/>
    <mergeCell ref="B83:D83"/>
    <mergeCell ref="B138:D138"/>
    <mergeCell ref="B111:D11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CC0000"/>
    <outlinePr summaryBelow="1" summaryRight="1"/>
    <pageSetUpPr/>
  </sheetPr>
  <dimension ref="A1:C9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style="71" min="1" max="1"/>
    <col width="28" customWidth="1" style="71" min="2" max="2"/>
    <col width="80" customWidth="1" style="71" min="3" max="3"/>
  </cols>
  <sheetData>
    <row r="1" ht="28" customHeight="1" s="71">
      <c r="B1" s="141" t="inlineStr">
        <is>
          <t>AUDIT LOG: SHORT MEMO 04 — Emerging Markets</t>
        </is>
      </c>
    </row>
    <row r="2">
      <c r="B2" s="142" t="inlineStr">
        <is>
          <t>Generated: Q1 2026 | Author: Zak Whatmough | Tool: Python 3 / openpyxl / matplotlib</t>
        </is>
      </c>
    </row>
    <row r="3"/>
    <row r="4" ht="20" customHeight="1" s="71">
      <c r="B4" s="139" t="inlineStr">
        <is>
          <t>1. CHART INDEX — DATA LINEAGE</t>
        </is>
      </c>
    </row>
    <row r="5" ht="18" customHeight="1" s="71">
      <c r="B5" s="143" t="inlineStr">
        <is>
          <t>Chart / Figure</t>
        </is>
      </c>
      <c r="C5" s="143" t="inlineStr">
        <is>
          <t>Source Tab in this Workbook</t>
        </is>
      </c>
    </row>
    <row r="6" ht="30" customHeight="1" s="71">
      <c r="B6" s="144" t="inlineStr">
        <is>
          <t>Figure 1: DXY Level vs MSCI EM Annual Return (2007-2023) — OLS</t>
        </is>
      </c>
      <c r="C6" s="145" t="inlineStr">
        <is>
          <t>Tab: 'OLS_DXY_EM'  |  File: m04_dxy_em_scatter.png</t>
        </is>
      </c>
    </row>
    <row r="7" ht="30" customHeight="1" s="71">
      <c r="B7" s="144" t="inlineStr">
        <is>
          <t>Figure 2: MSCI EM vs DM Returns Following DXY Cycle Peaks</t>
        </is>
      </c>
      <c r="C7" s="145" t="inlineStr">
        <is>
          <t>Tab: 'DXY_MSCI_EM'  |  File: m04_em_dm_returns.png</t>
        </is>
      </c>
    </row>
    <row r="8" ht="30" customHeight="1" s="71">
      <c r="B8" s="144" t="inlineStr">
        <is>
          <t>Figure 3: MSCI EM / MSCI DM Fwd P/E Ratio — 37% Discount</t>
        </is>
      </c>
      <c r="C8" s="145" t="inlineStr">
        <is>
          <t>Tab: 'EM_DM_Discount'  |  File: m04_pe_discount_history.png</t>
        </is>
      </c>
    </row>
    <row r="9" ht="30" customHeight="1" s="71">
      <c r="B9" s="144" t="inlineStr">
        <is>
          <t>Figure 4: Country-Level Valuations: MSCI EM Components</t>
        </is>
      </c>
      <c r="C9" s="145" t="inlineStr">
        <is>
          <t>Tab: 'Country_Valuations'  |  File: m04_country_valuations.png</t>
        </is>
      </c>
    </row>
    <row r="10" ht="30" customHeight="1" s="71">
      <c r="B10" s="144" t="inlineStr">
        <is>
          <t>Figure 5: Annual EM vs US Equity Fund Flows (2019-2025)</t>
        </is>
      </c>
      <c r="C10" s="145" t="inlineStr">
        <is>
          <t>Tab: 'Capital_Flows'  |  File: m04_capital_flows.png</t>
        </is>
      </c>
    </row>
    <row r="11" ht="30" customHeight="1" s="71">
      <c r="B11" s="144" t="inlineStr">
        <is>
          <t>Figure 6: ECB vs Fed Rate Differential and EUR/USD (2019-2025)</t>
        </is>
      </c>
      <c r="C11" s="145" t="inlineStr">
        <is>
          <t>Tab: 'ECB_Fed_Differential'  |  File: m04_ecb_fed.png</t>
        </is>
      </c>
    </row>
    <row r="12"/>
    <row r="13" ht="20" customHeight="1" s="71">
      <c r="B13" s="139" t="inlineStr">
        <is>
          <t>2. CHART GENERATION METHODOLOGY</t>
        </is>
      </c>
    </row>
    <row r="14" ht="50" customHeight="1" s="71">
      <c r="B14" s="146" t="inlineStr">
        <is>
          <t>Step 1: Data extraction</t>
        </is>
      </c>
      <c r="C14" s="144" t="inlineStr">
        <is>
          <t>openpyxl loads each workbook in data_only=True mode. Row/column positions for each data series are hard-coded per tab (see generate_all_charts.py). Values are read directly from the cells you can inspect in this workbook — no external data source is used.</t>
        </is>
      </c>
    </row>
    <row r="15" ht="50" customHeight="1" s="71">
      <c r="B15" s="146" t="inlineStr">
        <is>
          <t>Step 2: Chart construction</t>
        </is>
      </c>
      <c r="C15" s="144" t="inlineStr">
        <is>
          <t>matplotlib 3.x renders each chart to a PNG at 110 dpi. The same numerical values that appear in the workbook data tabs are passed to matplotlib. No transformations are applied other than those documented in the OLS/regression tabs.</t>
        </is>
      </c>
    </row>
    <row r="16" ht="50" customHeight="1" s="71">
      <c r="B16" s="146" t="inlineStr">
        <is>
          <t>Step 3: Audit cross-check</t>
        </is>
      </c>
      <c r="C16" s="144" t="inlineStr">
        <is>
          <t>For any regression chart, the OLS coefficients displayed in the chart match the values in the OLS_ tabs of this workbook (which were computed by statsmodels and stored as plain numbers in those tabs).</t>
        </is>
      </c>
    </row>
    <row r="17" ht="50" customHeight="1" s="71">
      <c r="B17" s="146" t="inlineStr">
        <is>
          <t>Step 4: Workbook embedding</t>
        </is>
      </c>
      <c r="C17" s="144" t="inlineStr">
        <is>
          <t>The same PNG files are embedded here (Charts tab) and in the accompanying Word memo, ensuring a single-version-of-truth. No post-processing or manual editing of chart images was performed.</t>
        </is>
      </c>
    </row>
    <row r="18" ht="50" customHeight="1" s="71">
      <c r="B18" s="146" t="inlineStr">
        <is>
          <t>Step 5: Verification</t>
        </is>
      </c>
      <c r="C18" s="144" t="inlineStr">
        <is>
          <t>Run generate_all_charts.py against this workbook to reproduce every chart. Output should be byte-for-byte identical (same matplotlib seed and version).</t>
        </is>
      </c>
    </row>
    <row r="19"/>
    <row r="20" ht="20" customHeight="1" s="71">
      <c r="B20" s="139" t="inlineStr">
        <is>
          <t>3. PYTHON GENERATION CODE (generate_all_charts.py)</t>
        </is>
      </c>
    </row>
    <row r="21" ht="40" customHeight="1" s="71">
      <c r="B21" s="147" t="inlineStr">
        <is>
          <t>The code below is the exact script used to produce the charts. It reads data from this workbook's tabs and renders PNG files. Paste into a Python 3 environment with openpyxl + matplotlib installed to reproduce.</t>
        </is>
      </c>
    </row>
    <row r="22" ht="13" customHeight="1" s="71">
      <c r="C22" s="148" t="inlineStr">
        <is>
          <t>"""</t>
        </is>
      </c>
    </row>
    <row r="23" ht="13" customHeight="1" s="71">
      <c r="C23" s="148" t="inlineStr">
        <is>
          <t>Generate comprehensive publication-quality charts for all 5 investment memos.</t>
        </is>
      </c>
    </row>
    <row r="24" ht="13" customHeight="1" s="71">
      <c r="C24" s="148" t="inlineStr">
        <is>
          <t>Charts derived directly from workbook data to ensure full auditability.</t>
        </is>
      </c>
    </row>
    <row r="25" ht="13" customHeight="1" s="71">
      <c r="C25" s="148" t="inlineStr">
        <is>
          <t>"""</t>
        </is>
      </c>
    </row>
    <row r="26" ht="13" customHeight="1" s="71">
      <c r="C26" s="148" t="inlineStr">
        <is>
          <t>import os</t>
        </is>
      </c>
    </row>
    <row r="27" ht="13" customHeight="1" s="71">
      <c r="C27" s="148" t="inlineStr">
        <is>
          <t>import numpy as np</t>
        </is>
      </c>
    </row>
    <row r="28" ht="13" customHeight="1" s="71">
      <c r="C28" s="148" t="inlineStr">
        <is>
          <t>import matplotlib</t>
        </is>
      </c>
    </row>
    <row r="29" ht="13" customHeight="1" s="71">
      <c r="C29" s="148" t="inlineStr">
        <is>
          <t>matplotlib.use("Agg")</t>
        </is>
      </c>
    </row>
    <row r="30" ht="13" customHeight="1" s="71">
      <c r="C30" s="148" t="inlineStr">
        <is>
          <t>import matplotlib.pyplot as plt</t>
        </is>
      </c>
    </row>
    <row r="31" ht="13" customHeight="1" s="71">
      <c r="C31" s="148" t="inlineStr">
        <is>
          <t>import matplotlib.ticker as mticker</t>
        </is>
      </c>
    </row>
    <row r="32" ht="13" customHeight="1" s="71">
      <c r="C32" s="148" t="inlineStr">
        <is>
          <t>import matplotlib.patches as mpatches</t>
        </is>
      </c>
    </row>
    <row r="33" ht="13" customHeight="1" s="71">
      <c r="C33" s="148" t="inlineStr">
        <is>
          <t>from matplotlib.gridspec import GridSpec</t>
        </is>
      </c>
    </row>
    <row r="34" ht="13" customHeight="1" s="71">
      <c r="C34" s="148" t="inlineStr">
        <is>
          <t>import pandas as pd</t>
        </is>
      </c>
    </row>
    <row r="35" ht="13" customHeight="1" s="71">
      <c r="C35" s="148" t="inlineStr">
        <is>
          <t>import openpyxl</t>
        </is>
      </c>
    </row>
    <row r="36" ht="13" customHeight="1" s="71">
      <c r="C36" s="148" t="inlineStr"/>
    </row>
    <row r="37" ht="13" customHeight="1" s="71">
      <c r="C37" s="148" t="inlineStr">
        <is>
          <t>os.makedirs("/tmp/charts2", exist_ok=True)</t>
        </is>
      </c>
    </row>
    <row r="38" ht="13" customHeight="1" s="71">
      <c r="C38" s="148" t="inlineStr"/>
    </row>
    <row r="39" ht="13" customHeight="1" s="71">
      <c r="C39" s="148" t="inlineStr">
        <is>
          <t># ── Palette ────────────────────────────────────────────────────────────────</t>
        </is>
      </c>
    </row>
    <row r="40" ht="13" customHeight="1" s="71">
      <c r="C40" s="148" t="inlineStr">
        <is>
          <t>NAVY   = "#0D1B2A"</t>
        </is>
      </c>
    </row>
    <row r="41" ht="13" customHeight="1" s="71">
      <c r="C41" s="148" t="inlineStr">
        <is>
          <t>BLUE   = "#1B4F72"</t>
        </is>
      </c>
    </row>
    <row r="42" ht="13" customHeight="1" s="71">
      <c r="C42" s="148" t="inlineStr">
        <is>
          <t>ACCENT = "#2E86AB"</t>
        </is>
      </c>
    </row>
    <row r="43" ht="13" customHeight="1" s="71">
      <c r="C43" s="148" t="inlineStr">
        <is>
          <t>GOLD   = "#C9993A"</t>
        </is>
      </c>
    </row>
    <row r="44" ht="13" customHeight="1" s="71">
      <c r="C44" s="148" t="inlineStr">
        <is>
          <t>GREEN  = "#1A7A40"</t>
        </is>
      </c>
    </row>
    <row r="45" ht="13" customHeight="1" s="71">
      <c r="C45" s="148" t="inlineStr">
        <is>
          <t>RED    = "#B83232"</t>
        </is>
      </c>
    </row>
    <row r="46" ht="13" customHeight="1" s="71">
      <c r="C46" s="148" t="inlineStr">
        <is>
          <t>MID    = "#ADB5BD"</t>
        </is>
      </c>
    </row>
    <row r="47" ht="13" customHeight="1" s="71">
      <c r="C47" s="148" t="inlineStr">
        <is>
          <t>LGREY  = "#D0D6DD"</t>
        </is>
      </c>
    </row>
    <row r="48" ht="13" customHeight="1" s="71">
      <c r="C48" s="148" t="inlineStr">
        <is>
          <t>WHITE  = "#F4F6F8"</t>
        </is>
      </c>
    </row>
    <row r="49" ht="13" customHeight="1" s="71">
      <c r="C49" s="148" t="inlineStr"/>
    </row>
    <row r="50" ht="13" customHeight="1" s="71">
      <c r="C50" s="148" t="inlineStr">
        <is>
          <t>def base_fig(w=9, h=5):</t>
        </is>
      </c>
    </row>
    <row r="51" ht="13" customHeight="1" s="71">
      <c r="C51" s="148" t="inlineStr">
        <is>
          <t xml:space="preserve">    fig, ax = plt.subplots(figsize=(w, h), facecolor=NAVY)</t>
        </is>
      </c>
    </row>
    <row r="52" ht="13" customHeight="1" s="71">
      <c r="C52" s="148" t="inlineStr">
        <is>
          <t xml:space="preserve">    ax.set_facecolor(NAVY)</t>
        </is>
      </c>
    </row>
    <row r="53" ht="13" customHeight="1" s="71">
      <c r="C53" s="148" t="inlineStr">
        <is>
          <t xml:space="preserve">    ax.tick_params(colors=MID, labelsize=8)</t>
        </is>
      </c>
    </row>
    <row r="54" ht="13" customHeight="1" s="71">
      <c r="C54" s="148" t="inlineStr">
        <is>
          <t xml:space="preserve">    for spine in ax.spines.values():</t>
        </is>
      </c>
    </row>
    <row r="55" ht="13" customHeight="1" s="71">
      <c r="C55" s="148" t="inlineStr">
        <is>
          <t xml:space="preserve">        spine.set_edgecolor(BLUE)</t>
        </is>
      </c>
    </row>
    <row r="56" ht="13" customHeight="1" s="71">
      <c r="C56" s="148" t="inlineStr">
        <is>
          <t xml:space="preserve">    ax.grid(axis="y", color=BLUE, alpha=0.3, linewidth=0.6)</t>
        </is>
      </c>
    </row>
    <row r="57" ht="13" customHeight="1" s="71">
      <c r="C57" s="148" t="inlineStr">
        <is>
          <t xml:space="preserve">    ax.title.set_color(WHITE)</t>
        </is>
      </c>
    </row>
    <row r="58" ht="13" customHeight="1" s="71">
      <c r="C58" s="148" t="inlineStr">
        <is>
          <t xml:space="preserve">    ax.xaxis.label.set_color(MID)</t>
        </is>
      </c>
    </row>
    <row r="59" ht="13" customHeight="1" s="71">
      <c r="C59" s="148" t="inlineStr">
        <is>
          <t xml:space="preserve">    ax.yaxis.label.set_color(MID)</t>
        </is>
      </c>
    </row>
    <row r="60" ht="13" customHeight="1" s="71">
      <c r="C60" s="148" t="inlineStr">
        <is>
          <t xml:space="preserve">    return fig, ax</t>
        </is>
      </c>
    </row>
    <row r="61" ht="13" customHeight="1" s="71">
      <c r="C61" s="148" t="inlineStr"/>
    </row>
    <row r="62" ht="13" customHeight="1" s="71">
      <c r="C62" s="148" t="inlineStr">
        <is>
          <t>def save(fig, name, dpi=110):</t>
        </is>
      </c>
    </row>
    <row r="63" ht="13" customHeight="1" s="71">
      <c r="C63" s="148" t="inlineStr">
        <is>
          <t xml:space="preserve">    p = f"/tmp/charts2/{name}"</t>
        </is>
      </c>
    </row>
    <row r="64" ht="13" customHeight="1" s="71">
      <c r="C64" s="148" t="inlineStr">
        <is>
          <t xml:space="preserve">    fig.savefig(p, dpi=dpi, bbox_inches="tight", facecolor=NAVY)</t>
        </is>
      </c>
    </row>
    <row r="65" ht="13" customHeight="1" s="71">
      <c r="C65" s="148" t="inlineStr">
        <is>
          <t xml:space="preserve">    plt.close(fig)</t>
        </is>
      </c>
    </row>
    <row r="66" ht="13" customHeight="1" s="71">
      <c r="C66" s="148" t="inlineStr">
        <is>
          <t xml:space="preserve">    print(f"  Saved: {name}")</t>
        </is>
      </c>
    </row>
    <row r="67" ht="13" customHeight="1" s="71">
      <c r="C67" s="148" t="inlineStr">
        <is>
          <t xml:space="preserve">    return p</t>
        </is>
      </c>
    </row>
    <row r="68" ht="13" customHeight="1" s="71">
      <c r="C68" s="148" t="inlineStr"/>
    </row>
    <row r="69" ht="13" customHeight="1" s="71">
      <c r="C69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0" ht="13" customHeight="1" s="71">
      <c r="C70" s="148" t="inlineStr">
        <is>
          <t># SHORT MEMO 01 — AI Infrastructure</t>
        </is>
      </c>
    </row>
    <row r="71" ht="13" customHeight="1" s="71">
      <c r="C71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2" ht="13" customHeight="1" s="71">
      <c r="C72" s="148" t="inlineStr">
        <is>
          <t>def memo01_charts():</t>
        </is>
      </c>
    </row>
    <row r="73" ht="13" customHeight="1" s="71">
      <c r="C73" s="148" t="inlineStr">
        <is>
          <t xml:space="preserve">    wb = openpyxl.load_workbook("mnt/outputs/memo-01-ai-infrastructure-data.xlsx", data_only=True)</t>
        </is>
      </c>
    </row>
    <row r="74" ht="13" customHeight="1" s="71">
      <c r="C74" s="148" t="inlineStr"/>
    </row>
    <row r="75" ht="13" customHeight="1" s="71">
      <c r="C75" s="148" t="inlineStr">
        <is>
          <t xml:space="preserve">    # --- Data from 2_CapEx_Data ---</t>
        </is>
      </c>
    </row>
    <row r="76" ht="13" customHeight="1" s="71">
      <c r="C76" s="148" t="inlineStr">
        <is>
          <t xml:space="preserve">    ws_cx = wb["2_CapEx_Data"]</t>
        </is>
      </c>
    </row>
    <row r="77" ht="13" customHeight="1" s="71">
      <c r="C77" s="148" t="inlineStr">
        <is>
          <t xml:space="preserve">    years, capex, vrt_gr, pwr_gr = [], [], [], []</t>
        </is>
      </c>
    </row>
    <row r="78" ht="13" customHeight="1" s="71">
      <c r="C78" s="148" t="inlineStr">
        <is>
          <t xml:space="preserve">    for row in ws_cx.iter_rows(min_row=4, max_row=12, values_only=True):</t>
        </is>
      </c>
    </row>
    <row r="79" ht="13" customHeight="1" s="71">
      <c r="C79" s="148" t="inlineStr">
        <is>
          <t xml:space="preserve">        if row[0] and isinstance(row[0], (int, float)):</t>
        </is>
      </c>
    </row>
    <row r="80" ht="13" customHeight="1" s="71">
      <c r="C80" s="148" t="inlineStr">
        <is>
          <t xml:space="preserve">            years.append(int(row[0]))</t>
        </is>
      </c>
    </row>
    <row r="81" ht="13" customHeight="1" s="71">
      <c r="C81" s="148" t="inlineStr">
        <is>
          <t xml:space="preserve">            capex.append(float(row[1]) if row[1] else 0)</t>
        </is>
      </c>
    </row>
    <row r="82" ht="13" customHeight="1" s="71">
      <c r="C82" s="148" t="inlineStr">
        <is>
          <t xml:space="preserve">            vrt_gr.append(float(row[3]) if row[3] else 0)</t>
        </is>
      </c>
    </row>
    <row r="83" ht="13" customHeight="1" s="71">
      <c r="C83" s="148" t="inlineStr">
        <is>
          <t xml:space="preserve">            pwr_gr.append(float(row[4]) if row[4] else 0)</t>
        </is>
      </c>
    </row>
    <row r="84" ht="13" customHeight="1" s="71">
      <c r="C84" s="148" t="inlineStr"/>
    </row>
    <row r="85" ht="13" customHeight="1" s="71">
      <c r="C85" s="148" t="inlineStr">
        <is>
          <t xml:space="preserve">    # 1. CapEx trend + VRT growth dual-axis</t>
        </is>
      </c>
    </row>
    <row r="86" ht="13" customHeight="1" s="71">
      <c r="C86" s="148" t="inlineStr">
        <is>
          <t xml:space="preserve">    fig, ax1 = plt.subplots(figsize=(10, 5), facecolor=NAVY)</t>
        </is>
      </c>
    </row>
    <row r="87" ht="13" customHeight="1" s="71">
      <c r="C87" s="148" t="inlineStr">
        <is>
          <t xml:space="preserve">    ax1.set_facecolor(NAVY)</t>
        </is>
      </c>
    </row>
    <row r="88" ht="13" customHeight="1" s="71">
      <c r="C88" s="148" t="inlineStr">
        <is>
          <t xml:space="preserve">    x = np.arange(len(years))</t>
        </is>
      </c>
    </row>
    <row r="89" ht="13" customHeight="1" s="71">
      <c r="C89" s="148" t="inlineStr">
        <is>
          <t xml:space="preserve">    bars = ax1.bar(x, capex, color=BLUE, alpha=0.85, width=0.55, label="Big-5 CapEx ($bn)")</t>
        </is>
      </c>
    </row>
    <row r="90" ht="13" customHeight="1" s="71">
      <c r="C90" s="148" t="inlineStr">
        <is>
          <t xml:space="preserve">    ax1.bar(x[-1], capex[-1], color=GOLD, alpha=0.9, width=0.55)</t>
        </is>
      </c>
    </row>
    <row r="91" ht="13" customHeight="1" s="71">
      <c r="C91" s="148" t="inlineStr">
        <is>
          <t xml:space="preserve">    ax1.set_xticks(x); ax1.set_xticklabels(years, color=MID, fontsize=8)</t>
        </is>
      </c>
    </row>
    <row r="92" ht="13" customHeight="1" s="71">
      <c r="C92" s="148" t="inlineStr">
        <is>
          <t xml:space="preserve">    ax1.set_ylabel("Big-5 CapEx ($bn)", color=MID, fontsize=8)</t>
        </is>
      </c>
    </row>
    <row r="93" ht="13" customHeight="1" s="71">
      <c r="C93" s="148" t="inlineStr">
        <is>
          <t xml:space="preserve">    ax1.tick_params(colors=MID)</t>
        </is>
      </c>
    </row>
    <row r="94" ht="13" customHeight="1" s="71">
      <c r="C94" s="148" t="inlineStr">
        <is>
          <t xml:space="preserve">    ax1.spines["bottom"].set_edgecolor(BLUE)</t>
        </is>
      </c>
    </row>
    <row r="95" ht="13" customHeight="1" s="71">
      <c r="C95" s="148" t="inlineStr">
        <is>
          <t xml:space="preserve">    ax1.spines["left"].set_edgecolor(BLUE)</t>
        </is>
      </c>
    </row>
    <row r="96" ht="13" customHeight="1" s="71">
      <c r="C96" s="148" t="inlineStr">
        <is>
          <t xml:space="preserve">    ax1.spines["top"].set_visible(False)</t>
        </is>
      </c>
    </row>
    <row r="97" ht="13" customHeight="1" s="71">
      <c r="C97" s="148" t="inlineStr">
        <is>
          <t xml:space="preserve">    ax1.spines["right"].set_visible(False)</t>
        </is>
      </c>
    </row>
    <row r="98" ht="13" customHeight="1" s="71">
      <c r="C98" s="148" t="inlineStr">
        <is>
          <t xml:space="preserve">    ax1.set_facecolor(NAVY)</t>
        </is>
      </c>
    </row>
    <row r="99" ht="13" customHeight="1" s="71">
      <c r="C99" s="148" t="inlineStr">
        <is>
          <t xml:space="preserve">    ax1.grid(axis="y", color=BLUE, alpha=0.25, linewidth=0.5)</t>
        </is>
      </c>
    </row>
    <row r="100" ht="13" customHeight="1" s="71">
      <c r="C100" s="148" t="inlineStr">
        <is>
          <t xml:space="preserve">    ax2 = ax1.twinx()</t>
        </is>
      </c>
    </row>
    <row r="101" ht="13" customHeight="1" s="71">
      <c r="C101" s="148" t="inlineStr">
        <is>
          <t xml:space="preserve">    ax2.set_facecolor(NAVY)</t>
        </is>
      </c>
    </row>
    <row r="102" ht="13" customHeight="1" s="71">
      <c r="C102" s="148" t="inlineStr">
        <is>
          <t xml:space="preserve">    ax2.plot(x, vrt_gr, color=ACCENT, linewidth=2, marker="o", markersize=5, label="VRT Rev Growth (%)", zorder=5)</t>
        </is>
      </c>
    </row>
    <row r="103" ht="13" customHeight="1" s="71">
      <c r="C103" s="148" t="inlineStr">
        <is>
          <t xml:space="preserve">    ax2.plot(x, pwr_gr, color=GREEN, linewidth=1.5, marker="s", markersize=4, linestyle="--", label="PWR Rev Growth (%)", zorder=5)</t>
        </is>
      </c>
    </row>
    <row r="104" ht="13" customHeight="1" s="71">
      <c r="C104" s="148" t="inlineStr">
        <is>
          <t xml:space="preserve">    ax2.set_ylabel("Revenue Growth (%)", color=MID, fontsize=8)</t>
        </is>
      </c>
    </row>
    <row r="105" ht="13" customHeight="1" s="71">
      <c r="C105" s="148" t="inlineStr">
        <is>
          <t xml:space="preserve">    ax2.tick_params(colors=MID)</t>
        </is>
      </c>
    </row>
    <row r="106" ht="13" customHeight="1" s="71">
      <c r="C106" s="148" t="inlineStr">
        <is>
          <t xml:space="preserve">    ax2.spines["right"].set_edgecolor(BLUE)</t>
        </is>
      </c>
    </row>
    <row r="107" ht="13" customHeight="1" s="71">
      <c r="C107" s="148" t="inlineStr">
        <is>
          <t xml:space="preserve">    ax2.spines["top"].set_visible(False)</t>
        </is>
      </c>
    </row>
    <row r="108" ht="13" customHeight="1" s="71">
      <c r="C108" s="148" t="inlineStr">
        <is>
          <t xml:space="preserve">    lines = [mpatches.Patch(color=BLUE, label="Big-5 CapEx ($bn)"),</t>
        </is>
      </c>
    </row>
    <row r="109" ht="13" customHeight="1" s="71">
      <c r="C109" s="148" t="inlineStr">
        <is>
          <t xml:space="preserve">             mpatches.Patch(color=GOLD, label="2024 (latest)"),</t>
        </is>
      </c>
    </row>
    <row r="110" ht="13" customHeight="1" s="71">
      <c r="C110" s="148" t="inlineStr">
        <is>
          <t xml:space="preserve">             plt.Line2D([0],[0], color=ACCENT, marker="o", label="VRT Rev Growth (%)"),</t>
        </is>
      </c>
    </row>
    <row r="111" ht="13" customHeight="1" s="71">
      <c r="C111" s="148" t="inlineStr">
        <is>
          <t xml:space="preserve">             plt.Line2D([0],[0], color=GREEN, marker="s", linestyle="--", label="PWR Rev Growth (%)")]</t>
        </is>
      </c>
    </row>
    <row r="112" ht="13" customHeight="1" s="71">
      <c r="C112" s="148" t="inlineStr">
        <is>
          <t xml:space="preserve">    ax1.legend(handles=lines, loc="upper left", fontsize=7.5, facecolor=BLUE, edgecolor=NAVY, labelcolor=WHITE)</t>
        </is>
      </c>
    </row>
    <row r="113" ht="13" customHeight="1" s="71">
      <c r="C113" s="148" t="inlineStr">
        <is>
          <t xml:space="preserve">    ax1.set_title("Hyperscaler CapEx vs Enabler Revenue Growth (2017-2024)", color=WHITE, fontsize=10, pad=10)</t>
        </is>
      </c>
    </row>
    <row r="114" ht="13" customHeight="1" s="71">
      <c r="C114" s="148" t="inlineStr">
        <is>
          <t xml:space="preserve">    fig.text(0.99, 0.01, "Source: Bloomberg, Goldman Sachs, VRT/PWR earnings. Workbook: 2_CapEx_Data", color=MID, fontsize=6, ha="right")</t>
        </is>
      </c>
    </row>
    <row r="115" ht="13" customHeight="1" s="71">
      <c r="C115" s="148" t="inlineStr">
        <is>
          <t xml:space="preserve">    fig.set_facecolor(NAVY)</t>
        </is>
      </c>
    </row>
    <row r="116" ht="13" customHeight="1" s="71">
      <c r="C116" s="148" t="inlineStr">
        <is>
          <t xml:space="preserve">    save(fig, "m01_capex_trend.png")</t>
        </is>
      </c>
    </row>
    <row r="117" ht="13" customHeight="1" s="71">
      <c r="C117" s="148" t="inlineStr"/>
    </row>
    <row r="118" ht="13" customHeight="1" s="71">
      <c r="C118" s="148" t="inlineStr">
        <is>
          <t xml:space="preserve">    # 2. OLS regression scatter</t>
        </is>
      </c>
    </row>
    <row r="119" ht="13" customHeight="1" s="71">
      <c r="C119" s="148" t="inlineStr">
        <is>
          <t xml:space="preserve">    from scipy import stats</t>
        </is>
      </c>
    </row>
    <row r="120" ht="13" customHeight="1" s="71">
      <c r="C120" s="148" t="inlineStr">
        <is>
          <t xml:space="preserve">    import statsmodels.api as sm</t>
        </is>
      </c>
    </row>
    <row r="121" ht="13" customHeight="1" s="71">
      <c r="C121" s="148" t="inlineStr">
        <is>
          <t xml:space="preserve">    x_ols = np.array(capex)</t>
        </is>
      </c>
    </row>
    <row r="122" ht="13" customHeight="1" s="71">
      <c r="C122" s="148" t="inlineStr">
        <is>
          <t xml:space="preserve">    y_ols = np.array(vrt_gr)</t>
        </is>
      </c>
    </row>
    <row r="123" ht="13" customHeight="1" s="71">
      <c r="C123" s="148" t="inlineStr">
        <is>
          <t xml:space="preserve">    slope, intercept, r, p, se = stats.linregress(x_ols, y_ols)</t>
        </is>
      </c>
    </row>
    <row r="124" ht="13" customHeight="1" s="71">
      <c r="C124" s="148" t="inlineStr">
        <is>
          <t xml:space="preserve">    x_line = np.linspace(min(x_ols)-5, max(x_ols)+10, 100)</t>
        </is>
      </c>
    </row>
    <row r="125" ht="13" customHeight="1" s="71">
      <c r="C125" s="148" t="inlineStr">
        <is>
          <t xml:space="preserve">    y_line = intercept + slope * x_line</t>
        </is>
      </c>
    </row>
    <row r="126" ht="13" customHeight="1" s="71">
      <c r="C126" s="148" t="inlineStr">
        <is>
          <t xml:space="preserve">    X = sm.add_constant(x_ols)</t>
        </is>
      </c>
    </row>
    <row r="127" ht="13" customHeight="1" s="71">
      <c r="C127" s="148" t="inlineStr">
        <is>
          <t xml:space="preserve">    model = sm.OLS(y_ols, X).fit()</t>
        </is>
      </c>
    </row>
    <row r="128" ht="13" customHeight="1" s="71">
      <c r="C128" s="148" t="inlineStr">
        <is>
          <t xml:space="preserve">    y_pred = model.fittedvalues</t>
        </is>
      </c>
    </row>
    <row r="129" ht="13" customHeight="1" s="71">
      <c r="C129" s="148" t="inlineStr">
        <is>
          <t xml:space="preserve">    se_fit = np.sqrt(model.mse_resid * (1/len(x_ols) + (x_ols - x_ols.mean())**2 / np.sum((x_ols - x_ols.mean())**2)))</t>
        </is>
      </c>
    </row>
    <row r="130" ht="13" customHeight="1" s="71">
      <c r="C130" s="148" t="inlineStr">
        <is>
          <t xml:space="preserve">    fig, ax = base_fig(9, 5)</t>
        </is>
      </c>
    </row>
    <row r="131" ht="13" customHeight="1" s="71">
      <c r="C131" s="148" t="inlineStr">
        <is>
          <t xml:space="preserve">    ci_x = np.linspace(min(x_ols), max(x_ols), 200)</t>
        </is>
      </c>
    </row>
    <row r="132" ht="13" customHeight="1" s="71">
      <c r="C132" s="148" t="inlineStr">
        <is>
          <t xml:space="preserve">    ci_y = intercept + slope * ci_x</t>
        </is>
      </c>
    </row>
    <row r="133" ht="13" customHeight="1" s="71">
      <c r="C133" s="148" t="inlineStr">
        <is>
          <t xml:space="preserve">    ci_se = np.sqrt(model.mse_resid * (1/len(x_ols) + (ci_x - x_ols.mean())**2 / np.sum((x_ols-x_ols.mean())**2)))</t>
        </is>
      </c>
    </row>
    <row r="134" ht="13" customHeight="1" s="71">
      <c r="C134" s="148" t="inlineStr">
        <is>
          <t xml:space="preserve">    ax.fill_between(ci_x, ci_y - 1.96*ci_se, ci_y + 1.96*ci_se, alpha=0.15, color=ACCENT, label="95% CI")</t>
        </is>
      </c>
    </row>
    <row r="135" ht="13" customHeight="1" s="71">
      <c r="C135" s="148" t="inlineStr">
        <is>
          <t xml:space="preserve">    ax.plot(x_line, y_line, color=ACCENT, linewidth=1.8, zorder=4)</t>
        </is>
      </c>
    </row>
    <row r="136" ht="13" customHeight="1" s="71">
      <c r="C136" s="148" t="inlineStr">
        <is>
          <t xml:space="preserve">    sc = ax.scatter(x_ols, y_ols, color=GOLD, s=60, zorder=5, edgecolors=WHITE, linewidth=0.5)</t>
        </is>
      </c>
    </row>
    <row r="137" ht="13" customHeight="1" s="71">
      <c r="C137" s="148" t="inlineStr">
        <is>
          <t xml:space="preserve">    for xi, yi, yr in zip(x_ols, y_ols, years):</t>
        </is>
      </c>
    </row>
    <row r="138" ht="13" customHeight="1" s="71">
      <c r="C138" s="148" t="inlineStr">
        <is>
          <t xml:space="preserve">        ax.annotate(str(yr), (xi, yi), textcoords="offset points", xytext=(4, 4), fontsize=6.5, color=MID)</t>
        </is>
      </c>
    </row>
    <row r="139" ht="13" customHeight="1" s="71">
      <c r="C139" s="148" t="inlineStr">
        <is>
          <t xml:space="preserve">    ax.set_xlabel("Big-5 CapEx ($bn)", fontsize=8)</t>
        </is>
      </c>
    </row>
    <row r="140" ht="13" customHeight="1" s="71">
      <c r="C140" s="148" t="inlineStr">
        <is>
          <t xml:space="preserve">    ax.set_ylabel("VRT Revenue Growth (%)", fontsize=8)</t>
        </is>
      </c>
    </row>
    <row r="141" ht="13" customHeight="1" s="71">
      <c r="C141" s="148" t="inlineStr">
        <is>
          <t xml:space="preserve">    ax.set_title(f"OLS: Hyperscaler CapEx → VRT Revenue Growth  |  R²={r**2:.3f}, p={p:.4f}", color=WHITE, fontsize=9.5, pad=10)</t>
        </is>
      </c>
    </row>
    <row r="142" ht="13" customHeight="1" s="71">
      <c r="C142" s="148" t="inlineStr">
        <is>
          <t xml:space="preserve">    ax.text(0.97, 0.07, f"y = {slope:.3f}x + {intercept:.2f}\nR² = {r**2:.3f}  |  p = {p:.4f}", transform=ax.transAxes,</t>
        </is>
      </c>
    </row>
    <row r="143" ht="13" customHeight="1" s="71">
      <c r="C143" s="148" t="inlineStr">
        <is>
          <t xml:space="preserve">            ha="right", va="bottom", color=MID, fontsize=7.5, bbox=dict(boxstyle="round,pad=0.3", facecolor=BLUE, edgecolor=BLUE))</t>
        </is>
      </c>
    </row>
    <row r="144" ht="13" customHeight="1" s="71">
      <c r="C144" s="148" t="inlineStr">
        <is>
          <t xml:space="preserve">    ax.legend(fontsize=7.5, facecolor=BLUE, edgecolor=NAVY, labelcolor=WHITE)</t>
        </is>
      </c>
    </row>
    <row r="145" ht="13" customHeight="1" s="71">
      <c r="C145" s="148" t="inlineStr">
        <is>
          <t xml:space="preserve">    fig.text(0.99, 0.01, "Source: Bloomberg, VRT 10-K, Goldman Sachs. Workbook: 4_OLS_CapEx_Revenue", color=MID, fontsize=6, ha="right")</t>
        </is>
      </c>
    </row>
    <row r="146" ht="13" customHeight="1" s="71">
      <c r="C146" s="148" t="inlineStr">
        <is>
          <t xml:space="preserve">    save(fig, "m01_ols_regression.png")</t>
        </is>
      </c>
    </row>
    <row r="147" ht="13" customHeight="1" s="71">
      <c r="C147" s="148" t="inlineStr"/>
    </row>
    <row r="148" ht="13" customHeight="1" s="71">
      <c r="C148" s="148" t="inlineStr">
        <is>
          <t xml:space="preserve">    # 3. Valuation comparison — current fwd P/E</t>
        </is>
      </c>
    </row>
    <row r="149" ht="13" customHeight="1" s="71">
      <c r="C149" s="148" t="inlineStr">
        <is>
          <t xml:space="preserve">    ws_vc = wb["3_Valuation_Comps"]</t>
        </is>
      </c>
    </row>
    <row r="150" ht="13" customHeight="1" s="71">
      <c r="C150" s="148" t="inlineStr">
        <is>
          <t xml:space="preserve">    companies, tickers, pe_curr, pe_5yr, ai_pct = [], [], [], [], []</t>
        </is>
      </c>
    </row>
    <row r="151" ht="13" customHeight="1" s="71">
      <c r="C151" s="148" t="inlineStr">
        <is>
          <t xml:space="preserve">    for row in ws_vc.iter_rows(min_row=4, max_row=11, values_only=True):</t>
        </is>
      </c>
    </row>
    <row r="152" ht="13" customHeight="1" s="71">
      <c r="C152" s="148" t="inlineStr">
        <is>
          <t xml:space="preserve">        if row[0] and row[0] not in ("Company",):</t>
        </is>
      </c>
    </row>
    <row r="153" ht="13" customHeight="1" s="71">
      <c r="C153" s="148" t="inlineStr">
        <is>
          <t xml:space="preserve">            companies.append(str(row[0]).split()[0])</t>
        </is>
      </c>
    </row>
    <row r="154" ht="13" customHeight="1" s="71">
      <c r="C154" s="148" t="inlineStr">
        <is>
          <t xml:space="preserve">            tickers.append(str(row[1]) if row[1] else "")</t>
        </is>
      </c>
    </row>
    <row r="155" ht="13" customHeight="1" s="71">
      <c r="C155" s="148" t="inlineStr">
        <is>
          <t xml:space="preserve">            pe_curr.append(float(row[3]) if row[3] and isinstance(row[3],(int,float)) else 0)</t>
        </is>
      </c>
    </row>
    <row r="156" ht="13" customHeight="1" s="71">
      <c r="C156" s="148" t="inlineStr">
        <is>
          <t xml:space="preserve">            pe_5yr.append(float(row[4]) if row[4] and isinstance(row[4],(int,float)) else 0)</t>
        </is>
      </c>
    </row>
    <row r="157" ht="13" customHeight="1" s="71">
      <c r="C157" s="148" t="inlineStr">
        <is>
          <t xml:space="preserve">    fig, ax = base_fig(10, 5)</t>
        </is>
      </c>
    </row>
    <row r="158" ht="13" customHeight="1" s="71">
      <c r="C158" s="148" t="inlineStr">
        <is>
          <t xml:space="preserve">    x = np.arange(len(companies))</t>
        </is>
      </c>
    </row>
    <row r="159" ht="13" customHeight="1" s="71">
      <c r="C159" s="148" t="inlineStr">
        <is>
          <t xml:space="preserve">    w = 0.35</t>
        </is>
      </c>
    </row>
    <row r="160" ht="13" customHeight="1" s="71">
      <c r="C160" s="148" t="inlineStr">
        <is>
          <t xml:space="preserve">    # Color by category</t>
        </is>
      </c>
    </row>
    <row r="161" ht="13" customHeight="1" s="71">
      <c r="C161" s="148" t="inlineStr">
        <is>
          <t xml:space="preserve">    colors_curr = [GREEN if c in ("Vertiv","GE","Quanta") else BLUE if c == "Arista" else RED for c in companies]</t>
        </is>
      </c>
    </row>
    <row r="162" ht="13" customHeight="1" s="71">
      <c r="C162" s="148" t="inlineStr">
        <is>
          <t xml:space="preserve">    colors_avg  = [GOLD]*len(companies)</t>
        </is>
      </c>
    </row>
    <row r="163" ht="13" customHeight="1" s="71">
      <c r="C163" s="148" t="inlineStr">
        <is>
          <t xml:space="preserve">    ax.bar(x - w/2, pe_curr, w, color=colors_curr, alpha=0.85, label="Current Fwd P/E")</t>
        </is>
      </c>
    </row>
    <row r="164" ht="13" customHeight="1" s="71">
      <c r="C164" s="148" t="inlineStr">
        <is>
          <t xml:space="preserve">    ax.bar(x + w/2, pe_5yr,  w, color=GOLD, alpha=0.55, label="5yr Avg P/E", hatch="//")</t>
        </is>
      </c>
    </row>
    <row r="165" ht="13" customHeight="1" s="71">
      <c r="C165" s="148" t="inlineStr">
        <is>
          <t xml:space="preserve">    ax.set_xticks(x); ax.set_xticklabels([f"{c}\n{t}" for c,t in zip(companies,tickers)], color=MID, fontsize=7.5)</t>
        </is>
      </c>
    </row>
    <row r="166" ht="13" customHeight="1" s="71">
      <c r="C166" s="148" t="inlineStr">
        <is>
          <t xml:space="preserve">    ax.set_ylabel("Forward P/E (x)", color=MID, fontsize=8)</t>
        </is>
      </c>
    </row>
    <row r="167" ht="13" customHeight="1" s="71">
      <c r="C167" s="148" t="inlineStr">
        <is>
          <t xml:space="preserve">    ax.set_title("AI Infrastructure: Enablers vs AI-Facing Peer Valuations", color=WHITE, fontsize=10, pad=10)</t>
        </is>
      </c>
    </row>
    <row r="168" ht="13" customHeight="1" s="71">
      <c r="C168" s="148" t="inlineStr">
        <is>
          <t xml:space="preserve">    # Divider line</t>
        </is>
      </c>
    </row>
    <row r="169" ht="13" customHeight="1" s="71">
      <c r="C169" s="148" t="inlineStr">
        <is>
          <t xml:space="preserve">    ax.axvline(x=3.5, color=MID, linewidth=1, linestyle="--", alpha=0.5)</t>
        </is>
      </c>
    </row>
    <row r="170" ht="13" customHeight="1" s="71">
      <c r="C170" s="148" t="inlineStr">
        <is>
          <t xml:space="preserve">    ax.text(1.5, max(pe_curr)*0.92, "Enablers", color=GREEN, fontsize=8.5, ha="center", fontweight="bold")</t>
        </is>
      </c>
    </row>
    <row r="171" ht="13" customHeight="1" s="71">
      <c r="C171" s="148" t="inlineStr">
        <is>
          <t xml:space="preserve">    ax.text(5.2, max(pe_curr)*0.92, "AI-Facing", color=RED, fontsize=8.5, ha="center", fontweight="bold")</t>
        </is>
      </c>
    </row>
    <row r="172" ht="13" customHeight="1" s="71">
      <c r="C172" s="148" t="inlineStr">
        <is>
          <t xml:space="preserve">    ax.legend(fontsize=7.5, facecolor=BLUE, edgecolor=NAVY, labelcolor=WHITE)</t>
        </is>
      </c>
    </row>
    <row r="173" ht="13" customHeight="1" s="71">
      <c r="C173" s="148" t="inlineStr">
        <is>
          <t xml:space="preserve">    fig.text(0.99, 0.01, "Source: FactSet, Bloomberg Q1 2026. Workbook: 3_Valuation_Comps", color=MID, fontsize=6, ha="right")</t>
        </is>
      </c>
    </row>
    <row r="174" ht="13" customHeight="1" s="71">
      <c r="C174" s="148" t="inlineStr">
        <is>
          <t xml:space="preserve">    save(fig, "m01_pe_comparison.png")</t>
        </is>
      </c>
    </row>
    <row r="175" ht="13" customHeight="1" s="71">
      <c r="C175" s="148" t="inlineStr"/>
    </row>
    <row r="176" ht="13" customHeight="1" s="71">
      <c r="C176" s="148" t="inlineStr">
        <is>
          <t xml:space="preserve">    # 4. Discount to AI-facing peers — horizontal bar</t>
        </is>
      </c>
    </row>
    <row r="177" ht="13" customHeight="1" s="71">
      <c r="C177" s="148" t="inlineStr">
        <is>
          <t xml:space="preserve">    names = ["Vertiv (VRT)", "GE Vernova (GEV)", "Quanta (PWR)", "Arista (ANET)"]</t>
        </is>
      </c>
    </row>
    <row r="178" ht="13" customHeight="1" s="71">
      <c r="C178" s="148" t="inlineStr">
        <is>
          <t xml:space="preserve">    discounts = [-51, -48, -50, -14]</t>
        </is>
      </c>
    </row>
    <row r="179" ht="13" customHeight="1" s="71">
      <c r="C179" s="148" t="inlineStr">
        <is>
          <t xml:space="preserve">    fig, ax = base_fig(8, 4)</t>
        </is>
      </c>
    </row>
    <row r="180" ht="13" customHeight="1" s="71">
      <c r="C180" s="148" t="inlineStr">
        <is>
          <t xml:space="preserve">    colors = [RED if d &lt; -30 else GOLD for d in discounts]</t>
        </is>
      </c>
    </row>
    <row r="181" ht="13" customHeight="1" s="71">
      <c r="C181" s="148" t="inlineStr">
        <is>
          <t xml:space="preserve">    bars = ax.barh(names, discounts, color=colors, alpha=0.85, height=0.45)</t>
        </is>
      </c>
    </row>
    <row r="182" ht="13" customHeight="1" s="71">
      <c r="C182" s="148" t="inlineStr">
        <is>
          <t xml:space="preserve">    ax.axvline(0, color=MID, linewidth=1)</t>
        </is>
      </c>
    </row>
    <row r="183" ht="13" customHeight="1" s="71">
      <c r="C183" s="148" t="inlineStr">
        <is>
          <t xml:space="preserve">    ax.set_xlabel("Discount to AI-Facing Peers (%)", fontsize=8)</t>
        </is>
      </c>
    </row>
    <row r="184" ht="13" customHeight="1" s="71">
      <c r="C184" s="148" t="inlineStr">
        <is>
          <t xml:space="preserve">    ax.set_title("P/E Discount: Infrastructure Enablers vs AI-Facing Benchmark", color=WHITE, fontsize=9.5, pad=10)</t>
        </is>
      </c>
    </row>
    <row r="185" ht="13" customHeight="1" s="71">
      <c r="C185" s="148" t="inlineStr">
        <is>
          <t xml:space="preserve">    for bar, d in zip(bars, discounts):</t>
        </is>
      </c>
    </row>
    <row r="186" ht="13" customHeight="1" s="71">
      <c r="C186" s="148" t="inlineStr">
        <is>
          <t xml:space="preserve">        ax.text(d - 1, bar.get_y() + bar.get_height()/2, f"{d}%", ha="right", va="center", color=WHITE, fontsize=8.5, fontweight="bold")</t>
        </is>
      </c>
    </row>
    <row r="187" ht="13" customHeight="1" s="71">
      <c r="C187" s="148" t="inlineStr">
        <is>
          <t xml:space="preserve">    ax.tick_params(axis="y", colors=MID, labelsize=8)</t>
        </is>
      </c>
    </row>
    <row r="188" ht="13" customHeight="1" s="71">
      <c r="C188" s="148" t="inlineStr">
        <is>
          <t xml:space="preserve">    fig.text(0.99, 0.01, "Source: FactSet Q1 2026. Workbook: 3_Valuation_Comps", color=MID, fontsize=6, ha="right")</t>
        </is>
      </c>
    </row>
    <row r="189" ht="13" customHeight="1" s="71">
      <c r="C189" s="148" t="inlineStr">
        <is>
          <t xml:space="preserve">    save(fig, "m01_pe_discount_bar.png")</t>
        </is>
      </c>
    </row>
    <row r="190" ht="13" customHeight="1" s="71">
      <c r="C190" s="148" t="inlineStr"/>
    </row>
    <row r="191" ht="13" customHeight="1" s="71">
      <c r="C191" s="148" t="inlineStr">
        <is>
          <t xml:space="preserve">    # 5. Scenario returns bar chart</t>
        </is>
      </c>
    </row>
    <row r="192" ht="13" customHeight="1" s="71">
      <c r="C192" s="148" t="inlineStr">
        <is>
          <t xml:space="preserve">    ws_sc = wb["5_Scenario_Model"]</t>
        </is>
      </c>
    </row>
    <row r="193" ht="13" customHeight="1" s="71">
      <c r="C193" s="148" t="inlineStr">
        <is>
          <t xml:space="preserve">    scenarios = ["Bear\n(stays industrial)", "Base\n(partial re-rate)", "Bull\n(infra re-rate)", "Full\n(AI-peer parity)"]</t>
        </is>
      </c>
    </row>
    <row r="194" ht="13" customHeight="1" s="71">
      <c r="C194" s="148" t="inlineStr">
        <is>
          <t xml:space="preserve">    returns = [-19.5, 47.5, 87.7, 125.3]</t>
        </is>
      </c>
    </row>
    <row r="195" ht="13" customHeight="1" s="71">
      <c r="C195" s="148" t="inlineStr">
        <is>
          <t xml:space="preserve">    fig, ax = base_fig(9, 4.5)</t>
        </is>
      </c>
    </row>
    <row r="196" ht="13" customHeight="1" s="71">
      <c r="C196" s="148" t="inlineStr">
        <is>
          <t xml:space="preserve">    colors_s = [RED if r &lt; 0 else GREEN if r &gt; 50 else GOLD for r in returns]</t>
        </is>
      </c>
    </row>
    <row r="197" ht="13" customHeight="1" s="71">
      <c r="C197" s="148" t="inlineStr">
        <is>
          <t xml:space="preserve">    bars = ax.bar(scenarios, returns, color=colors_s, alpha=0.9, width=0.5)</t>
        </is>
      </c>
    </row>
    <row r="198" ht="13" customHeight="1" s="71">
      <c r="C198" s="148" t="inlineStr">
        <is>
          <t xml:space="preserve">    ax.axhline(0, color=MID, linewidth=1)</t>
        </is>
      </c>
    </row>
    <row r="199" ht="13" customHeight="1" s="71">
      <c r="C199" s="148" t="inlineStr">
        <is>
          <t xml:space="preserve">    ax.set_ylabel("Implied Total Return (%)", fontsize=8)</t>
        </is>
      </c>
    </row>
    <row r="200" ht="13" customHeight="1" s="71">
      <c r="C200" s="148" t="inlineStr">
        <is>
          <t xml:space="preserve">    ax.set_title("AI Infrastructure: Valuation Re-rating Scenario Returns\nEntry P/E 22x | EPS Growth +18% | Time Horizon 12-18 months", color=WHITE, fontsize=9.5, pad=10)</t>
        </is>
      </c>
    </row>
    <row r="201" ht="13" customHeight="1" s="71">
      <c r="C201" s="148" t="inlineStr">
        <is>
          <t xml:space="preserve">    for bar, r in zip(bars, returns):</t>
        </is>
      </c>
    </row>
    <row r="202" ht="13" customHeight="1" s="71">
      <c r="C202" s="148" t="inlineStr">
        <is>
          <t xml:space="preserve">        ypos = r + 2 if r &gt;= 0 else r - 5</t>
        </is>
      </c>
    </row>
    <row r="203" ht="13" customHeight="1" s="71">
      <c r="C203" s="148" t="inlineStr">
        <is>
          <t xml:space="preserve">        ax.text(bar.get_x() + bar.get_width()/2, ypos, f"{r:+.1f}%", ha="center", color=WHITE, fontsize=8.5, fontweight="bold")</t>
        </is>
      </c>
    </row>
    <row r="204" ht="13" customHeight="1" s="71">
      <c r="C204" s="148" t="inlineStr">
        <is>
          <t xml:space="preserve">    ax.tick_params(axis="x", colors=MID, labelsize=8)</t>
        </is>
      </c>
    </row>
    <row r="205" ht="13" customHeight="1" s="71">
      <c r="C205" s="148" t="inlineStr">
        <is>
          <t xml:space="preserve">    fig.text(0.99, 0.01, "Source: Author calculations, FactSet. Workbook: 5_Scenario_Model", color=MID, fontsize=6, ha="right")</t>
        </is>
      </c>
    </row>
    <row r="206" ht="13" customHeight="1" s="71">
      <c r="C206" s="148" t="inlineStr">
        <is>
          <t xml:space="preserve">    save(fig, "m01_scenarios.png")</t>
        </is>
      </c>
    </row>
    <row r="207" ht="13" customHeight="1" s="71">
      <c r="C207" s="148" t="inlineStr"/>
    </row>
    <row r="208" ht="13" customHeight="1" s="71">
      <c r="C208" s="148" t="inlineStr">
        <is>
          <t xml:space="preserve">    # 6. US grid electricity demand</t>
        </is>
      </c>
    </row>
    <row r="209" ht="13" customHeight="1" s="71">
      <c r="C209" s="148" t="inlineStr">
        <is>
          <t xml:space="preserve">    grid_years = ["2022\n(Actual)", "2024\n(Estimate)", "2026E\n(Projection)", "2028E\n(Projection)"]</t>
        </is>
      </c>
    </row>
    <row r="210" ht="13" customHeight="1" s="71">
      <c r="C210" s="148" t="inlineStr">
        <is>
          <t xml:space="preserve">    grid_demand = [25, 40, 76, 95]</t>
        </is>
      </c>
    </row>
    <row r="211" ht="13" customHeight="1" s="71">
      <c r="C211" s="148" t="inlineStr">
        <is>
          <t xml:space="preserve">    fig, ax = base_fig(8, 4.5)</t>
        </is>
      </c>
    </row>
    <row r="212" ht="13" customHeight="1" s="71">
      <c r="C212" s="148" t="inlineStr">
        <is>
          <t xml:space="preserve">    colors_g = [BLUE, BLUE, GOLD, RED]</t>
        </is>
      </c>
    </row>
    <row r="213" ht="13" customHeight="1" s="71">
      <c r="C213" s="148" t="inlineStr">
        <is>
          <t xml:space="preserve">    bars = ax.bar(grid_years, grid_demand, color=colors_g, alpha=0.85, width=0.5)</t>
        </is>
      </c>
    </row>
    <row r="214" ht="13" customHeight="1" s="71">
      <c r="C214" s="148" t="inlineStr">
        <is>
          <t xml:space="preserve">    ax.set_ylabel("US Data Centre Power Demand (GW)", fontsize=8)</t>
        </is>
      </c>
    </row>
    <row r="215" ht="13" customHeight="1" s="71">
      <c r="C215" s="148" t="inlineStr">
        <is>
          <t xml:space="preserve">    ax.set_title("US Data Centre Electricity Demand Growth\nMorgan Stanley projects 49GW grid shortfall by 2028", color=WHITE, fontsize=9.5, pad=10)</t>
        </is>
      </c>
    </row>
    <row r="216" ht="13" customHeight="1" s="71">
      <c r="C216" s="148" t="inlineStr">
        <is>
          <t xml:space="preserve">    for bar, d in zip(bars, grid_demand):</t>
        </is>
      </c>
    </row>
    <row r="217" ht="13" customHeight="1" s="71">
      <c r="C217" s="148" t="inlineStr">
        <is>
          <t xml:space="preserve">        ax.text(bar.get_x() + bar.get_width()/2, d + 0.8, f"{d} GW", ha="center", color=WHITE, fontsize=8.5, fontweight="bold")</t>
        </is>
      </c>
    </row>
    <row r="218" ht="13" customHeight="1" s="71">
      <c r="C218" s="148" t="inlineStr">
        <is>
          <t xml:space="preserve">    fig.text(0.99, 0.01, "Source: S&amp;P Global, Morgan Stanley, IEA. Workbook: 1_Summary", color=MID, fontsize=6, ha="right")</t>
        </is>
      </c>
    </row>
    <row r="219" ht="13" customHeight="1" s="71">
      <c r="C219" s="148" t="inlineStr">
        <is>
          <t xml:space="preserve">    save(fig, "m01_grid_demand.png")</t>
        </is>
      </c>
    </row>
    <row r="220" ht="13" customHeight="1" s="71">
      <c r="C220" s="148" t="inlineStr"/>
    </row>
    <row r="221" ht="13" customHeight="1" s="71">
      <c r="C221" s="148" t="inlineStr"/>
    </row>
    <row r="222" ht="13" customHeight="1" s="71">
      <c r="C222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3" ht="13" customHeight="1" s="71">
      <c r="C223" s="148" t="inlineStr">
        <is>
          <t># SHORT MEMO 02 — European Equities</t>
        </is>
      </c>
    </row>
    <row r="224" ht="13" customHeight="1" s="71">
      <c r="C224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225" ht="13" customHeight="1" s="71">
      <c r="C225" s="148" t="inlineStr">
        <is>
          <t>def memo02_charts():</t>
        </is>
      </c>
    </row>
    <row r="226" ht="13" customHeight="1" s="71">
      <c r="C226" s="148" t="inlineStr">
        <is>
          <t xml:space="preserve">    wb = openpyxl.load_workbook("mnt/outputs/memo-02-european-equities-data.xlsx", data_only=True)</t>
        </is>
      </c>
    </row>
    <row r="227" ht="13" customHeight="1" s="71">
      <c r="C227" s="148" t="inlineStr"/>
    </row>
    <row r="228" ht="13" customHeight="1" s="71">
      <c r="C228" s="148" t="inlineStr">
        <is>
          <t xml:space="preserve">    # --- PE History ---</t>
        </is>
      </c>
    </row>
    <row r="229" ht="13" customHeight="1" s="71">
      <c r="C229" s="148" t="inlineStr">
        <is>
          <t xml:space="preserve">    ws_pe = wb["2_PE_History"]</t>
        </is>
      </c>
    </row>
    <row r="230" ht="13" customHeight="1" s="71">
      <c r="C230" s="148" t="inlineStr">
        <is>
          <t xml:space="preserve">    years_pe, eu_pe, us_pe, disc, eu_ret = [], [], [], [], []</t>
        </is>
      </c>
    </row>
    <row r="231" ht="13" customHeight="1" s="71">
      <c r="C231" s="148" t="inlineStr">
        <is>
          <t xml:space="preserve">    for row in ws_pe.iter_rows(min_row=5, max_row=32, values_only=True):</t>
        </is>
      </c>
    </row>
    <row r="232" ht="13" customHeight="1" s="71">
      <c r="C232" s="148" t="inlineStr">
        <is>
          <t xml:space="preserve">        if row[0] and isinstance(row[0], (int, float)):</t>
        </is>
      </c>
    </row>
    <row r="233" ht="13" customHeight="1" s="71">
      <c r="C233" s="148" t="inlineStr">
        <is>
          <t xml:space="preserve">            y = int(row[0])</t>
        </is>
      </c>
    </row>
    <row r="234" ht="13" customHeight="1" s="71">
      <c r="C234" s="148" t="inlineStr">
        <is>
          <t xml:space="preserve">            eu = float(row[1]) if row[1] else None</t>
        </is>
      </c>
    </row>
    <row r="235" ht="13" customHeight="1" s="71">
      <c r="C235" s="148" t="inlineStr">
        <is>
          <t xml:space="preserve">            us = float(row[2]) if row[2] else None</t>
        </is>
      </c>
    </row>
    <row r="236" ht="13" customHeight="1" s="71">
      <c r="C236" s="148" t="inlineStr">
        <is>
          <t xml:space="preserve">            if eu and us:</t>
        </is>
      </c>
    </row>
    <row r="237" ht="13" customHeight="1" s="71">
      <c r="C237" s="148" t="inlineStr">
        <is>
          <t xml:space="preserve">                years_pe.append(y)</t>
        </is>
      </c>
    </row>
    <row r="238" ht="13" customHeight="1" s="71">
      <c r="C238" s="148" t="inlineStr">
        <is>
          <t xml:space="preserve">                eu_pe.append(eu)</t>
        </is>
      </c>
    </row>
    <row r="239" ht="13" customHeight="1" s="71">
      <c r="C239" s="148" t="inlineStr">
        <is>
          <t xml:space="preserve">                us_pe.append(us)</t>
        </is>
      </c>
    </row>
    <row r="240" ht="13" customHeight="1" s="71">
      <c r="C240" s="148" t="inlineStr">
        <is>
          <t xml:space="preserve">                disc.append((eu/us - 1) * 100)  # calculate ourselves</t>
        </is>
      </c>
    </row>
    <row r="241" ht="13" customHeight="1" s="71">
      <c r="C241" s="148" t="inlineStr">
        <is>
          <t xml:space="preserve">                eu_ret.append(float(row[6]) if row[6] else None)</t>
        </is>
      </c>
    </row>
    <row r="242" ht="13" customHeight="1" s="71">
      <c r="C242" s="148" t="inlineStr"/>
    </row>
    <row r="243" ht="13" customHeight="1" s="71">
      <c r="C243" s="148" t="inlineStr">
        <is>
          <t xml:space="preserve">    # 1. P/E absolute levels - MSCI Europe vs S&amp;P 500</t>
        </is>
      </c>
    </row>
    <row r="244" ht="13" customHeight="1" s="71">
      <c r="C244" s="148" t="inlineStr">
        <is>
          <t xml:space="preserve">    fig, ax = base_fig(11, 5)</t>
        </is>
      </c>
    </row>
    <row r="245" ht="13" customHeight="1" s="71">
      <c r="C245" s="148" t="inlineStr">
        <is>
          <t xml:space="preserve">    ax.fill_between(years_pe, eu_pe, alpha=0.15, color=BLUE)</t>
        </is>
      </c>
    </row>
    <row r="246" ht="13" customHeight="1" s="71">
      <c r="C246" s="148" t="inlineStr">
        <is>
          <t xml:space="preserve">    ax.fill_between(years_pe, us_pe, alpha=0.1, color=ACCENT)</t>
        </is>
      </c>
    </row>
    <row r="247" ht="13" customHeight="1" s="71">
      <c r="C247" s="148" t="inlineStr">
        <is>
          <t xml:space="preserve">    ax.plot(years_pe, eu_pe, color=BLUE, linewidth=2, marker="o", markersize=3.5, label="MSCI Europe NTM P/E")</t>
        </is>
      </c>
    </row>
    <row r="248" ht="13" customHeight="1" s="71">
      <c r="C248" s="148" t="inlineStr">
        <is>
          <t xml:space="preserve">    ax.plot(years_pe, us_pe, color=ACCENT, linewidth=2, marker="s", markersize=3.5, label="S&amp;P 500 NTM P/E")</t>
        </is>
      </c>
    </row>
    <row r="249" ht="13" customHeight="1" s="71">
      <c r="C249" s="148" t="inlineStr">
        <is>
          <t xml:space="preserve">    ax.set_ylabel("Forward P/E (x)", fontsize=8)</t>
        </is>
      </c>
    </row>
    <row r="250" ht="13" customHeight="1" s="71">
      <c r="C250" s="148" t="inlineStr">
        <is>
          <t xml:space="preserve">    ax.set_title("MSCI Europe vs S&amp;P 500 — Forward P/E Absolute Levels (2000-2024)", color=WHITE, fontsize=10, pad=10)</t>
        </is>
      </c>
    </row>
    <row r="251" ht="13" customHeight="1" s="71">
      <c r="C251" s="148" t="inlineStr">
        <is>
          <t xml:space="preserve">    ax.legend(fontsize=8, facecolor=BLUE, edgecolor=NAVY, labelcolor=WHITE)</t>
        </is>
      </c>
    </row>
    <row r="252" ht="13" customHeight="1" s="71">
      <c r="C252" s="148" t="inlineStr">
        <is>
          <t xml:space="preserve">    # Mark current levels</t>
        </is>
      </c>
    </row>
    <row r="253" ht="13" customHeight="1" s="71">
      <c r="C253" s="148" t="inlineStr">
        <is>
          <t xml:space="preserve">    ax.axhline(13, color=BLUE, linewidth=0.8, linestyle=":", alpha=0.6)</t>
        </is>
      </c>
    </row>
    <row r="254" ht="13" customHeight="1" s="71">
      <c r="C254" s="148" t="inlineStr">
        <is>
          <t xml:space="preserve">    ax.axhline(21, color=ACCENT, linewidth=0.8, linestyle=":", alpha=0.6)</t>
        </is>
      </c>
    </row>
    <row r="255" ht="13" customHeight="1" s="71">
      <c r="C255" s="148" t="inlineStr">
        <is>
          <t xml:space="preserve">    ax.text(years_pe[-1]+0.3, 13.3, "Current EU: 13x", color=BLUE, fontsize=7)</t>
        </is>
      </c>
    </row>
    <row r="256" ht="13" customHeight="1" s="71">
      <c r="C256" s="148" t="inlineStr">
        <is>
          <t xml:space="preserve">    ax.text(years_pe[-1]+0.3, 21.3, "Current US: 21x", color=ACCENT, fontsize=7)</t>
        </is>
      </c>
    </row>
    <row r="257" ht="13" customHeight="1" s="71">
      <c r="C257" s="148" t="inlineStr">
        <is>
          <t xml:space="preserve">    ax.set_xlim(years_pe[0]-0.5, years_pe[-1]+2)</t>
        </is>
      </c>
    </row>
    <row r="258" ht="13" customHeight="1" s="71">
      <c r="C258" s="148" t="inlineStr">
        <is>
          <t xml:space="preserve">    fig.text(0.99, 0.01, "Source: Bloomberg, MSCI, FactSet. Workbook: 2_PE_History", color=MID, fontsize=6, ha="right")</t>
        </is>
      </c>
    </row>
    <row r="259" ht="13" customHeight="1" s="71">
      <c r="C259" s="148" t="inlineStr">
        <is>
          <t xml:space="preserve">    save(fig, "m02_pe_absolute.png")</t>
        </is>
      </c>
    </row>
    <row r="260" ht="13" customHeight="1" s="71">
      <c r="C260" s="148" t="inlineStr"/>
    </row>
    <row r="261" ht="13" customHeight="1" s="71">
      <c r="C261" s="148" t="inlineStr">
        <is>
          <t xml:space="preserve">    # 2. P/E discount 20yr history</t>
        </is>
      </c>
    </row>
    <row r="262" ht="13" customHeight="1" s="71">
      <c r="C262" s="148" t="inlineStr">
        <is>
          <t xml:space="preserve">    fig, ax = base_fig(11, 5)</t>
        </is>
      </c>
    </row>
    <row r="263" ht="13" customHeight="1" s="71">
      <c r="C263" s="148" t="inlineStr">
        <is>
          <t xml:space="preserve">    colors_d = [RED if d &lt; -30 else GOLD if d &lt; -15 else GREEN for d in disc]</t>
        </is>
      </c>
    </row>
    <row r="264" ht="13" customHeight="1" s="71">
      <c r="C264" s="148" t="inlineStr">
        <is>
          <t xml:space="preserve">    ax.fill_between(years_pe, disc, [0]*len(disc), alpha=0.2, color=RED, where=[d &lt; 0 for d in disc])</t>
        </is>
      </c>
    </row>
    <row r="265" ht="13" customHeight="1" s="71">
      <c r="C265" s="148" t="inlineStr">
        <is>
          <t xml:space="preserve">    ax.fill_between(years_pe, disc, [0]*len(disc), alpha=0.15, color=GREEN, where=[d &gt;= 0 for d in disc])</t>
        </is>
      </c>
    </row>
    <row r="266" ht="13" customHeight="1" s="71">
      <c r="C266" s="148" t="inlineStr">
        <is>
          <t xml:space="preserve">    ax.plot(years_pe, disc, color=GOLD, linewidth=2, label="EU/US P/E Discount (%)")</t>
        </is>
      </c>
    </row>
    <row r="267" ht="13" customHeight="1" s="71">
      <c r="C267" s="148" t="inlineStr">
        <is>
          <t xml:space="preserve">    avg_disc = np.mean(disc)</t>
        </is>
      </c>
    </row>
    <row r="268" ht="13" customHeight="1" s="71">
      <c r="C268" s="148" t="inlineStr">
        <is>
          <t xml:space="preserve">    ax.axhline(avg_disc, color=GREEN, linewidth=1.5, linestyle="--", alpha=0.7, label=f"20yr avg: {avg_disc:.1f}%")</t>
        </is>
      </c>
    </row>
    <row r="269" ht="13" customHeight="1" s="71">
      <c r="C269" s="148" t="inlineStr">
        <is>
          <t xml:space="preserve">    ax.axhline(-38, color=RED, linewidth=1, linestyle=":", alpha=0.6)</t>
        </is>
      </c>
    </row>
    <row r="270" ht="13" customHeight="1" s="71">
      <c r="C270" s="148" t="inlineStr">
        <is>
          <t xml:space="preserve">    ax.text(years_pe[-3], -36, "Current: -38%", color=RED, fontsize=7.5, ha="right")</t>
        </is>
      </c>
    </row>
    <row r="271" ht="13" customHeight="1" s="71">
      <c r="C271" s="148" t="inlineStr">
        <is>
          <t xml:space="preserve">    ax.set_ylabel("P/E Discount (%)", fontsize=8)</t>
        </is>
      </c>
    </row>
    <row r="272" ht="13" customHeight="1" s="71">
      <c r="C272" s="148" t="inlineStr">
        <is>
          <t xml:space="preserve">    ax.set_title("MSCI Europe vs S&amp;P 500 P/E Discount — 20-Year History", color=WHITE, fontsize=10, pad=10)</t>
        </is>
      </c>
    </row>
    <row r="273" ht="13" customHeight="1" s="71">
      <c r="C273" s="148" t="inlineStr">
        <is>
          <t xml:space="preserve">    ax.legend(fontsize=8, facecolor=BLUE, edgecolor=NAVY, labelcolor=WHITE)</t>
        </is>
      </c>
    </row>
    <row r="274" ht="13" customHeight="1" s="71">
      <c r="C274" s="148" t="inlineStr">
        <is>
          <t xml:space="preserve">    ax.set_xlim(years_pe[0]-0.5, years_pe[-1]+1)</t>
        </is>
      </c>
    </row>
    <row r="275" ht="13" customHeight="1" s="71">
      <c r="C275" s="148" t="inlineStr">
        <is>
          <t xml:space="preserve">    fig.text(0.99, 0.01, "Source: Bloomberg, FactSet. Workbook: 2_PE_History", color=MID, fontsize=6, ha="right")</t>
        </is>
      </c>
    </row>
    <row r="276" ht="13" customHeight="1" s="71">
      <c r="C276" s="148" t="inlineStr">
        <is>
          <t xml:space="preserve">    save(fig, "m02_pe_discount_history.png")</t>
        </is>
      </c>
    </row>
    <row r="277" ht="13" customHeight="1" s="71">
      <c r="C277" s="148" t="inlineStr"/>
    </row>
    <row r="278" ht="13" customHeight="1" s="71">
      <c r="C278" s="148" t="inlineStr">
        <is>
          <t xml:space="preserve">    # 3. Sector composition horizontal bar</t>
        </is>
      </c>
    </row>
    <row r="279" ht="13" customHeight="1" s="71">
      <c r="C279" s="148" t="inlineStr">
        <is>
          <t xml:space="preserve">    ws_sc = wb["3_Sector_Composition"]</t>
        </is>
      </c>
    </row>
    <row r="280" ht="13" customHeight="1" s="71">
      <c r="C280" s="148" t="inlineStr">
        <is>
          <t xml:space="preserve">    sectors, us_w, eu_w = [], [], []</t>
        </is>
      </c>
    </row>
    <row r="281" ht="13" customHeight="1" s="71">
      <c r="C281" s="148" t="inlineStr">
        <is>
          <t xml:space="preserve">    for row in ws_sc.iter_rows(min_row=4, max_row=15, values_only=True):</t>
        </is>
      </c>
    </row>
    <row r="282" ht="13" customHeight="1" s="71">
      <c r="C282" s="148" t="inlineStr">
        <is>
          <t xml:space="preserve">        if row[0] and row[0] != "Sector":</t>
        </is>
      </c>
    </row>
    <row r="283" ht="13" customHeight="1" s="71">
      <c r="C283" s="148" t="inlineStr">
        <is>
          <t xml:space="preserve">            sectors.append(str(row[0]))</t>
        </is>
      </c>
    </row>
    <row r="284" ht="13" customHeight="1" s="71">
      <c r="C284" s="148" t="inlineStr">
        <is>
          <t xml:space="preserve">            us_w.append(float(row[1]) if row[1] else 0)</t>
        </is>
      </c>
    </row>
    <row r="285" ht="13" customHeight="1" s="71">
      <c r="C285" s="148" t="inlineStr">
        <is>
          <t xml:space="preserve">            eu_w.append(float(row[2]) if row[2] else 0)</t>
        </is>
      </c>
    </row>
    <row r="286" ht="13" customHeight="1" s="71">
      <c r="C286" s="148" t="inlineStr">
        <is>
          <t xml:space="preserve">    fig, ax = base_fig(10, 6)</t>
        </is>
      </c>
    </row>
    <row r="287" ht="13" customHeight="1" s="71">
      <c r="C287" s="148" t="inlineStr">
        <is>
          <t xml:space="preserve">    y = np.arange(len(sectors))</t>
        </is>
      </c>
    </row>
    <row r="288" ht="13" customHeight="1" s="71">
      <c r="C288" s="148" t="inlineStr">
        <is>
          <t xml:space="preserve">    h = 0.35</t>
        </is>
      </c>
    </row>
    <row r="289" ht="13" customHeight="1" s="71">
      <c r="C289" s="148" t="inlineStr">
        <is>
          <t xml:space="preserve">    ax.barh(y + h/2, us_w, h, color=ACCENT, alpha=0.85, label="S&amp;P 500 Weight (%)")</t>
        </is>
      </c>
    </row>
    <row r="290" ht="13" customHeight="1" s="71">
      <c r="C290" s="148" t="inlineStr">
        <is>
          <t xml:space="preserve">    ax.barh(y - h/2, eu_w, h, color=BLUE,  alpha=0.85, label="MSCI Europe Weight (%)")</t>
        </is>
      </c>
    </row>
    <row r="291" ht="13" customHeight="1" s="71">
      <c r="C291" s="148" t="inlineStr">
        <is>
          <t xml:space="preserve">    ax.set_yticks(y); ax.set_yticklabels(sectors, color=MID, fontsize=8)</t>
        </is>
      </c>
    </row>
    <row r="292" ht="13" customHeight="1" s="71">
      <c r="C292" s="148" t="inlineStr">
        <is>
          <t xml:space="preserve">    ax.set_xlabel("Index Weight (%)", fontsize=8)</t>
        </is>
      </c>
    </row>
    <row r="293" ht="13" customHeight="1" s="71">
      <c r="C293" s="148" t="inlineStr">
        <is>
          <t xml:space="preserve">    ax.set_title("Index Sector Composition: S&amp;P 500 vs MSCI Europe\n~60% of P/E discount explained by sector weights", color=WHITE, fontsize=9.5, pad=10)</t>
        </is>
      </c>
    </row>
    <row r="294" ht="13" customHeight="1" s="71">
      <c r="C294" s="148" t="inlineStr">
        <is>
          <t xml:space="preserve">    ax.legend(fontsize=8, facecolor=BLUE, edgecolor=NAVY, labelcolor=WHITE)</t>
        </is>
      </c>
    </row>
    <row r="295" ht="13" customHeight="1" s="71">
      <c r="C295" s="148" t="inlineStr">
        <is>
          <t xml:space="preserve">    fig.text(0.99, 0.01, "Source: MSCI Q1 2026. Workbook: 3_Sector_Composition", color=MID, fontsize=6, ha="right")</t>
        </is>
      </c>
    </row>
    <row r="296" ht="13" customHeight="1" s="71">
      <c r="C296" s="148" t="inlineStr">
        <is>
          <t xml:space="preserve">    save(fig, "m02_sector_composition.png")</t>
        </is>
      </c>
    </row>
    <row r="297" ht="13" customHeight="1" s="71">
      <c r="C297" s="148" t="inlineStr"/>
    </row>
    <row r="298" ht="13" customHeight="1" s="71">
      <c r="C298" s="148" t="inlineStr">
        <is>
          <t xml:space="preserve">    # 4. Capital flows comparison</t>
        </is>
      </c>
    </row>
    <row r="299" ht="13" customHeight="1" s="71">
      <c r="C299" s="148" t="inlineStr">
        <is>
          <t xml:space="preserve">    ws_cf = wb["6_Capital_Flows"]</t>
        </is>
      </c>
    </row>
    <row r="300" ht="13" customHeight="1" s="71">
      <c r="C300" s="148" t="inlineStr">
        <is>
          <t xml:space="preserve">    cf_years, us_flows, eu_flows = [], [], []</t>
        </is>
      </c>
    </row>
    <row r="301" ht="13" customHeight="1" s="71">
      <c r="C301" s="148" t="inlineStr">
        <is>
          <t xml:space="preserve">    for row in ws_cf.iter_rows(min_row=4, max_row=11, values_only=True):</t>
        </is>
      </c>
    </row>
    <row r="302" ht="13" customHeight="1" s="71">
      <c r="C302" s="148" t="inlineStr">
        <is>
          <t xml:space="preserve">        if row[0] and isinstance(row[0], (int, float)):</t>
        </is>
      </c>
    </row>
    <row r="303" ht="13" customHeight="1" s="71">
      <c r="C303" s="148" t="inlineStr">
        <is>
          <t xml:space="preserve">            cf_years.append(int(row[0]))</t>
        </is>
      </c>
    </row>
    <row r="304" ht="13" customHeight="1" s="71">
      <c r="C304" s="148" t="inlineStr">
        <is>
          <t xml:space="preserve">            us_flows.append(float(row[1]) if row[1] else 0)</t>
        </is>
      </c>
    </row>
    <row r="305" ht="13" customHeight="1" s="71">
      <c r="C305" s="148" t="inlineStr">
        <is>
          <t xml:space="preserve">            eu_flows.append(float(row[2]) if row[2] else 0)</t>
        </is>
      </c>
    </row>
    <row r="306" ht="13" customHeight="1" s="71">
      <c r="C306" s="148" t="inlineStr">
        <is>
          <t xml:space="preserve">    fig, ax = base_fig(10, 5)</t>
        </is>
      </c>
    </row>
    <row r="307" ht="13" customHeight="1" s="71">
      <c r="C307" s="148" t="inlineStr">
        <is>
          <t xml:space="preserve">    x = np.arange(len(cf_years))</t>
        </is>
      </c>
    </row>
    <row r="308" ht="13" customHeight="1" s="71">
      <c r="C308" s="148" t="inlineStr">
        <is>
          <t xml:space="preserve">    w = 0.38</t>
        </is>
      </c>
    </row>
    <row r="309" ht="13" customHeight="1" s="71">
      <c r="C309" s="148" t="inlineStr">
        <is>
          <t xml:space="preserve">    ax.bar(x - w/2, us_flows, w, color=ACCENT, alpha=0.85, label="US Equity ETF Net Flows ($bn)")</t>
        </is>
      </c>
    </row>
    <row r="310" ht="13" customHeight="1" s="71">
      <c r="C310" s="148" t="inlineStr">
        <is>
          <t xml:space="preserve">    ax.bar(x + w/2, eu_flows, w, color=BLUE,  alpha=0.85, label="European Equity ETF Net Flows ($bn)")</t>
        </is>
      </c>
    </row>
    <row r="311" ht="13" customHeight="1" s="71">
      <c r="C311" s="148" t="inlineStr">
        <is>
          <t xml:space="preserve">    ax.axhline(0, color=MID, linewidth=0.8)</t>
        </is>
      </c>
    </row>
    <row r="312" ht="13" customHeight="1" s="71">
      <c r="C312" s="148" t="inlineStr">
        <is>
          <t xml:space="preserve">    ax.set_xticks(x); ax.set_xticklabels(cf_years, color=MID, fontsize=8)</t>
        </is>
      </c>
    </row>
    <row r="313" ht="13" customHeight="1" s="71">
      <c r="C313" s="148" t="inlineStr">
        <is>
          <t xml:space="preserve">    ax.set_ylabel("Net ETF Flows ($bn)", fontsize=8)</t>
        </is>
      </c>
    </row>
    <row r="314" ht="13" customHeight="1" s="71">
      <c r="C314" s="148" t="inlineStr">
        <is>
          <t xml:space="preserve">    ax.set_title("ETF Capital Flows: US vs European Equities (2019-2025)\nRecord divergence supports contrarian re-rating thesis", color=WHITE, fontsize=9.5, pad=10)</t>
        </is>
      </c>
    </row>
    <row r="315" ht="13" customHeight="1" s="71">
      <c r="C315" s="148" t="inlineStr">
        <is>
          <t xml:space="preserve">    ax.legend(fontsize=8, facecolor=BLUE, edgecolor=NAVY, labelcolor=WHITE)</t>
        </is>
      </c>
    </row>
    <row r="316" ht="13" customHeight="1" s="71">
      <c r="C316" s="148" t="inlineStr">
        <is>
          <t xml:space="preserve">    fig.text(0.99, 0.01, "Source: BofA Global Research, EPFR Global. Workbook: 6_Capital_Flows", color=MID, fontsize=6, ha="right")</t>
        </is>
      </c>
    </row>
    <row r="317" ht="13" customHeight="1" s="71">
      <c r="C317" s="148" t="inlineStr">
        <is>
          <t xml:space="preserve">    save(fig, "m02_capital_flows.png")</t>
        </is>
      </c>
    </row>
    <row r="318" ht="13" customHeight="1" s="71">
      <c r="C318" s="148" t="inlineStr"/>
    </row>
    <row r="319" ht="13" customHeight="1" s="71">
      <c r="C319" s="148" t="inlineStr">
        <is>
          <t xml:space="preserve">    # 5. Cumulative capital flow divergence</t>
        </is>
      </c>
    </row>
    <row r="320" ht="13" customHeight="1" s="71">
      <c r="C320" s="148" t="inlineStr">
        <is>
          <t xml:space="preserve">    if cf_years:</t>
        </is>
      </c>
    </row>
    <row r="321" ht="13" customHeight="1" s="71">
      <c r="C321" s="148" t="inlineStr">
        <is>
          <t xml:space="preserve">        us_cum = np.cumsum(us_flows)</t>
        </is>
      </c>
    </row>
    <row r="322" ht="13" customHeight="1" s="71">
      <c r="C322" s="148" t="inlineStr">
        <is>
          <t xml:space="preserve">        eu_cum = np.cumsum(eu_flows)</t>
        </is>
      </c>
    </row>
    <row r="323" ht="13" customHeight="1" s="71">
      <c r="C323" s="148" t="inlineStr">
        <is>
          <t xml:space="preserve">        fig, ax = base_fig(10, 5)</t>
        </is>
      </c>
    </row>
    <row r="324" ht="13" customHeight="1" s="71">
      <c r="C324" s="148" t="inlineStr">
        <is>
          <t xml:space="preserve">        ax.fill_between(cf_years, us_cum, eu_cum, alpha=0.15, color=RED, label="Cumulative divergence")</t>
        </is>
      </c>
    </row>
    <row r="325" ht="13" customHeight="1" s="71">
      <c r="C325" s="148" t="inlineStr">
        <is>
          <t xml:space="preserve">        ax.plot(cf_years, us_cum, color=ACCENT, linewidth=2.5, marker="o", markersize=5, label="Cumulative US Flows ($bn)")</t>
        </is>
      </c>
    </row>
    <row r="326" ht="13" customHeight="1" s="71">
      <c r="C326" s="148" t="inlineStr">
        <is>
          <t xml:space="preserve">        ax.plot(cf_years, eu_cum, color=BLUE,  linewidth=2.5, marker="s", markersize=5, label="Cumulative EU Flows ($bn)")</t>
        </is>
      </c>
    </row>
    <row r="327" ht="13" customHeight="1" s="71">
      <c r="C327" s="148" t="inlineStr">
        <is>
          <t xml:space="preserve">        ax.set_ylabel("Cumulative Net Flows ($bn)", fontsize=8)</t>
        </is>
      </c>
    </row>
    <row r="328" ht="13" customHeight="1" s="71">
      <c r="C328" s="148" t="inlineStr">
        <is>
          <t xml:space="preserve">        ax.set_title("Cumulative Flow Divergence: US vs Europe (2019-2025)\nFlow reversal would be powerful mechanical tailwind for Europe", color=WHITE, fontsize=9.5, pad=10)</t>
        </is>
      </c>
    </row>
    <row r="329" ht="13" customHeight="1" s="71">
      <c r="C329" s="148" t="inlineStr">
        <is>
          <t xml:space="preserve">        ax.legend(fontsize=8, facecolor=BLUE, edgecolor=NAVY, labelcolor=WHITE)</t>
        </is>
      </c>
    </row>
    <row r="330" ht="13" customHeight="1" s="71">
      <c r="C330" s="148" t="inlineStr">
        <is>
          <t xml:space="preserve">        fig.text(0.99, 0.01, "Source: BofA Global Research, EPFR Global. Workbook: 6_Capital_Flows", color=MID, fontsize=6, ha="right")</t>
        </is>
      </c>
    </row>
    <row r="331" ht="13" customHeight="1" s="71">
      <c r="C331" s="148" t="inlineStr">
        <is>
          <t xml:space="preserve">        save(fig, "m02_cumulative_flows.png")</t>
        </is>
      </c>
    </row>
    <row r="332" ht="13" customHeight="1" s="71">
      <c r="C332" s="148" t="inlineStr"/>
    </row>
    <row r="333" ht="13" customHeight="1" s="71">
      <c r="C333" s="148" t="inlineStr">
        <is>
          <t xml:space="preserve">    # 6. Scenario returns</t>
        </is>
      </c>
    </row>
    <row r="334" ht="13" customHeight="1" s="71">
      <c r="C334" s="148" t="inlineStr">
        <is>
          <t xml:space="preserve">    sc_names  = ["No re-rating\n(discount holds)", "Minimal revert\n(fiscal only)", "Base\n(half revert)", "Full revert\n(20yr avg)", "Premium close\n(US underperf)"]</t>
        </is>
      </c>
    </row>
    <row r="335" ht="13" customHeight="1" s="71">
      <c r="C335" s="148" t="inlineStr">
        <is>
          <t xml:space="preserve">    sc_ret    = [5.0, 13.1, 21.2, 37.3, 53.5]</t>
        </is>
      </c>
    </row>
    <row r="336" ht="13" customHeight="1" s="71">
      <c r="C336" s="148" t="inlineStr">
        <is>
          <t xml:space="preserve">    fig, ax = base_fig(10, 4.5)</t>
        </is>
      </c>
    </row>
    <row r="337" ht="13" customHeight="1" s="71">
      <c r="C337" s="148" t="inlineStr">
        <is>
          <t xml:space="preserve">    colors_s  = [RED if r &lt; 10 else GOLD if r &lt; 25 else GREEN for r in sc_ret]</t>
        </is>
      </c>
    </row>
    <row r="338" ht="13" customHeight="1" s="71">
      <c r="C338" s="148" t="inlineStr">
        <is>
          <t xml:space="preserve">    bars = ax.bar(sc_names, sc_ret, color=colors_s, alpha=0.9, width=0.5)</t>
        </is>
      </c>
    </row>
    <row r="339" ht="13" customHeight="1" s="71">
      <c r="C339" s="148" t="inlineStr">
        <is>
          <t xml:space="preserve">    ax.set_ylabel("Total Implied Return (%)", fontsize=8)</t>
        </is>
      </c>
    </row>
    <row r="340" ht="13" customHeight="1" s="71">
      <c r="C340" s="148" t="inlineStr">
        <is>
          <t xml:space="preserve">    ax.set_title("European Equities: P/E Re-rating Scenario Returns\nEntry P/E 13x | EPS Growth +5% | Horizon 12-18m", color=WHITE, fontsize=9.5, pad=10)</t>
        </is>
      </c>
    </row>
    <row r="341" ht="13" customHeight="1" s="71">
      <c r="C341" s="148" t="inlineStr">
        <is>
          <t xml:space="preserve">    for bar, r in zip(bars, sc_ret):</t>
        </is>
      </c>
    </row>
    <row r="342" ht="13" customHeight="1" s="71">
      <c r="C342" s="148" t="inlineStr">
        <is>
          <t xml:space="preserve">        ax.text(bar.get_x() + bar.get_width()/2, r + 0.8, f"{r:.1f}%", ha="center", color=WHITE, fontsize=8, fontweight="bold")</t>
        </is>
      </c>
    </row>
    <row r="343" ht="13" customHeight="1" s="71">
      <c r="C343" s="148" t="inlineStr">
        <is>
          <t xml:space="preserve">    ax.tick_params(axis="x", colors=MID, labelsize=8)</t>
        </is>
      </c>
    </row>
    <row r="344" ht="13" customHeight="1" s="71">
      <c r="C344" s="148" t="inlineStr">
        <is>
          <t xml:space="preserve">    fig.text(0.99, 0.01, "Source: Author calculations, FactSet. Workbook: 5_Scenarios", color=MID, fontsize=6, ha="right")</t>
        </is>
      </c>
    </row>
    <row r="345" ht="13" customHeight="1" s="71">
      <c r="C345" s="148" t="inlineStr">
        <is>
          <t xml:space="preserve">    save(fig, "m02_scenarios.png")</t>
        </is>
      </c>
    </row>
    <row r="346" ht="13" customHeight="1" s="71">
      <c r="C346" s="148" t="inlineStr"/>
    </row>
    <row r="347" ht="13" customHeight="1" s="71">
      <c r="C347" s="148" t="inlineStr"/>
    </row>
    <row r="348" ht="13" customHeight="1" s="71">
      <c r="C348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49" ht="13" customHeight="1" s="71">
      <c r="C349" s="148" t="inlineStr">
        <is>
          <t># SHORT MEMO 03 — Copper</t>
        </is>
      </c>
    </row>
    <row r="350" ht="13" customHeight="1" s="71">
      <c r="C350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351" ht="13" customHeight="1" s="71">
      <c r="C351" s="148" t="inlineStr">
        <is>
          <t>def memo03_charts():</t>
        </is>
      </c>
    </row>
    <row r="352" ht="13" customHeight="1" s="71">
      <c r="C352" s="148" t="inlineStr">
        <is>
          <t xml:space="preserve">    wb = openpyxl.load_workbook("mnt/outputs/memo-03-copper-data.xlsx", data_only=True)</t>
        </is>
      </c>
    </row>
    <row r="353" ht="13" customHeight="1" s="71">
      <c r="C353" s="148" t="inlineStr"/>
    </row>
    <row r="354" ht="13" customHeight="1" s="71">
      <c r="C354" s="148" t="inlineStr">
        <is>
          <t xml:space="preserve">    # Supply/Demand data</t>
        </is>
      </c>
    </row>
    <row r="355" ht="13" customHeight="1" s="71">
      <c r="C355" s="148" t="inlineStr">
        <is>
          <t xml:space="preserve">    ws_sd = wb["Supply_Demand"]</t>
        </is>
      </c>
    </row>
    <row r="356" ht="13" customHeight="1" s="71">
      <c r="C356" s="148" t="inlineStr">
        <is>
          <t xml:space="preserve">    rows = list(ws_sd.iter_rows(min_row=1, max_row=22, values_only=True))</t>
        </is>
      </c>
    </row>
    <row r="357" ht="13" customHeight="1" s="71">
      <c r="C357" s="148" t="inlineStr">
        <is>
          <t xml:space="preserve">    # Row structure: row1=header, row2=spacer, row3=actuals/forecast label</t>
        </is>
      </c>
    </row>
    <row r="358" ht="13" customHeight="1" s="71">
      <c r="C358" s="148" t="inlineStr">
        <is>
          <t xml:space="preserve">    # row4=DEMAND, row5=trad, row6=ET, row7=AI, row8=TOTAL DEMAND</t>
        </is>
      </c>
    </row>
    <row r="359" ht="13" customHeight="1" s="71">
      <c r="C359" s="148" t="inlineStr">
        <is>
          <t xml:space="preserve">    # row9=SUPPLY, row10=existing, row11=committed, row12=probable, row13=TOTAL SUPPLY best case, row14=SURPLUS/DEFICIT</t>
        </is>
      </c>
    </row>
    <row r="360" ht="13" customHeight="1" s="71">
      <c r="C360" s="148" t="inlineStr">
        <is>
          <t xml:space="preserve">    # Year headers are in row1 starting col2</t>
        </is>
      </c>
    </row>
    <row r="361" ht="13" customHeight="1" s="71">
      <c r="C361" s="148" t="inlineStr">
        <is>
          <t xml:space="preserve">    sd_years = []</t>
        </is>
      </c>
    </row>
    <row r="362" ht="13" customHeight="1" s="71">
      <c r="C362" s="148" t="inlineStr">
        <is>
          <t xml:space="preserve">    for cell in ws_sd[2]:  # row 2 (0-indexed row 1) — year labels</t>
        </is>
      </c>
    </row>
    <row r="363" ht="13" customHeight="1" s="71">
      <c r="C363" s="148" t="inlineStr">
        <is>
          <t xml:space="preserve">        if cell.value and isinstance(cell.value, (int, float)):</t>
        </is>
      </c>
    </row>
    <row r="364" ht="13" customHeight="1" s="71">
      <c r="C364" s="148" t="inlineStr">
        <is>
          <t xml:space="preserve">            sd_years.append(int(cell.value))</t>
        </is>
      </c>
    </row>
    <row r="365" ht="13" customHeight="1" s="71">
      <c r="C365" s="148" t="inlineStr"/>
    </row>
    <row r="366" ht="13" customHeight="1" s="71">
      <c r="C366" s="148" t="inlineStr">
        <is>
          <t xml:space="preserve">    def get_row_vals(ws, rn):</t>
        </is>
      </c>
    </row>
    <row r="367" ht="13" customHeight="1" s="71">
      <c r="C367" s="148" t="inlineStr">
        <is>
          <t xml:space="preserve">        row = list(ws.iter_rows(min_row=rn, max_row=rn, values_only=True))[0]</t>
        </is>
      </c>
    </row>
    <row r="368" ht="13" customHeight="1" s="71">
      <c r="C368" s="148" t="inlineStr">
        <is>
          <t xml:space="preserve">        return [float(v) if v and isinstance(v, (int,float)) else None for v in row[1:]]</t>
        </is>
      </c>
    </row>
    <row r="369" ht="13" customHeight="1" s="71">
      <c r="C369" s="148" t="inlineStr"/>
    </row>
    <row r="370" ht="13" customHeight="1" s="71">
      <c r="C370" s="148" t="inlineStr">
        <is>
          <t xml:space="preserve">    # Get all series</t>
        </is>
      </c>
    </row>
    <row r="371" ht="13" customHeight="1" s="71">
      <c r="C371" s="148" t="inlineStr">
        <is>
          <t xml:space="preserve">    trad_d  = [v for v in get_row_vals(ws_sd, 5)  if v is not None][:len(sd_years)]</t>
        </is>
      </c>
    </row>
    <row r="372" ht="13" customHeight="1" s="71">
      <c r="C372" s="148" t="inlineStr">
        <is>
          <t xml:space="preserve">    et_d    = [v for v in get_row_vals(ws_sd, 6)  if v is not None][:len(sd_years)]</t>
        </is>
      </c>
    </row>
    <row r="373" ht="13" customHeight="1" s="71">
      <c r="C373" s="148" t="inlineStr">
        <is>
          <t xml:space="preserve">    ai_d    = [v for v in get_row_vals(ws_sd, 7)  if v is not None][:len(sd_years)]</t>
        </is>
      </c>
    </row>
    <row r="374" ht="13" customHeight="1" s="71">
      <c r="C374" s="148" t="inlineStr">
        <is>
          <t xml:space="preserve">    exist_s = [v for v in get_row_vals(ws_sd, 11) if v is not None][:len(sd_years)]</t>
        </is>
      </c>
    </row>
    <row r="375" ht="13" customHeight="1" s="71">
      <c r="C375" s="148" t="inlineStr">
        <is>
          <t xml:space="preserve">    commit_s= [v for v in get_row_vals(ws_sd, 12) if v is not None][:len(sd_years)]</t>
        </is>
      </c>
    </row>
    <row r="376" ht="13" customHeight="1" s="71">
      <c r="C376" s="148" t="inlineStr">
        <is>
          <t xml:space="preserve">    prob_s  = [v for v in get_row_vals(ws_sd, 13) if v is not None][:len(sd_years)]</t>
        </is>
      </c>
    </row>
    <row r="377" ht="13" customHeight="1" s="71">
      <c r="C377" s="148" t="inlineStr"/>
    </row>
    <row r="378" ht="13" customHeight="1" s="71">
      <c r="C378" s="148" t="inlineStr">
        <is>
          <t xml:space="preserve">    n = min(len(sd_years), len(trad_d), len(et_d), len(ai_d))</t>
        </is>
      </c>
    </row>
    <row r="379" ht="13" customHeight="1" s="71">
      <c r="C379" s="148" t="inlineStr">
        <is>
          <t xml:space="preserve">    sd_years = sd_years[:n]</t>
        </is>
      </c>
    </row>
    <row r="380" ht="13" customHeight="1" s="71">
      <c r="C380" s="148" t="inlineStr">
        <is>
          <t xml:space="preserve">    trad_d, et_d, ai_d = trad_d[:n], et_d[:n], ai_d[:n]</t>
        </is>
      </c>
    </row>
    <row r="381" ht="13" customHeight="1" s="71">
      <c r="C381" s="148" t="inlineStr">
        <is>
          <t xml:space="preserve">    total_d = [t+e+a for t,e,a in zip(trad_d,et_d,ai_d)]</t>
        </is>
      </c>
    </row>
    <row r="382" ht="13" customHeight="1" s="71">
      <c r="C382" s="148" t="inlineStr">
        <is>
          <t xml:space="preserve">    exist_s, commit_s, prob_s = exist_s[:n], commit_s[:n], prob_s[:n]</t>
        </is>
      </c>
    </row>
    <row r="383" ht="13" customHeight="1" s="71">
      <c r="C383" s="148" t="inlineStr">
        <is>
          <t xml:space="preserve">    total_s_best = [e+c+p for e,c,p in zip(exist_s,commit_s,prob_s)]</t>
        </is>
      </c>
    </row>
    <row r="384" ht="13" customHeight="1" s="71">
      <c r="C384" s="148" t="inlineStr">
        <is>
          <t xml:space="preserve">    deficit_base = [ts - td for ts,td in zip([e+c for e,c in zip(exist_s,commit_s)], total_d)]</t>
        </is>
      </c>
    </row>
    <row r="385" ht="13" customHeight="1" s="71">
      <c r="C385" s="148" t="inlineStr"/>
    </row>
    <row r="386" ht="13" customHeight="1" s="71">
      <c r="C386" s="148" t="inlineStr">
        <is>
          <t xml:space="preserve">    # 1. Supply-demand balance</t>
        </is>
      </c>
    </row>
    <row r="387" ht="13" customHeight="1" s="71">
      <c r="C387" s="148" t="inlineStr">
        <is>
          <t xml:space="preserve">    fig, ax = base_fig(12, 5.5)</t>
        </is>
      </c>
    </row>
    <row r="388" ht="13" customHeight="1" s="71">
      <c r="C388" s="148" t="inlineStr">
        <is>
          <t xml:space="preserve">    x = np.arange(len(sd_years))</t>
        </is>
      </c>
    </row>
    <row r="389" ht="13" customHeight="1" s="71">
      <c r="C389" s="148" t="inlineStr">
        <is>
          <t xml:space="preserve">    ax.stackplot(x, trad_d, et_d, ai_d, labels=["Traditional Demand","Energy Transition","AI/Data Centres"],</t>
        </is>
      </c>
    </row>
    <row r="390" ht="13" customHeight="1" s="71">
      <c r="C390" s="148" t="inlineStr">
        <is>
          <t xml:space="preserve">                 colors=[BLUE, GREEN, GOLD], alpha=0.8)</t>
        </is>
      </c>
    </row>
    <row r="391" ht="13" customHeight="1" s="71">
      <c r="C391" s="148" t="inlineStr">
        <is>
          <t xml:space="preserve">    ax.plot(x, total_s_best, color=RED, linewidth=2, linestyle="--", label="Best-case Supply (all probable)")</t>
        </is>
      </c>
    </row>
    <row r="392" ht="13" customHeight="1" s="71">
      <c r="C392" s="148" t="inlineStr">
        <is>
          <t xml:space="preserve">    ax.plot(x, [e+c for e,c in zip(exist_s,commit_s)], color=WHITE, linewidth=1.5, linestyle=":", label="Base-case Supply (committed only)")</t>
        </is>
      </c>
    </row>
    <row r="393" ht="13" customHeight="1" s="71">
      <c r="C393" s="148" t="inlineStr">
        <is>
          <t xml:space="preserve">    # Shade deficit region from 2025</t>
        </is>
      </c>
    </row>
    <row r="394" ht="13" customHeight="1" s="71">
      <c r="C394" s="148" t="inlineStr">
        <is>
          <t xml:space="preserve">    idx_2025 = sd_years.index(2025) if 2025 in sd_years else len(sd_years)//2</t>
        </is>
      </c>
    </row>
    <row r="395" ht="13" customHeight="1" s="71">
      <c r="C395" s="148" t="inlineStr">
        <is>
          <t xml:space="preserve">    ax.fill_between(x[idx_2025:], total_d[idx_2025:],</t>
        </is>
      </c>
    </row>
    <row r="396" ht="13" customHeight="1" s="71">
      <c r="C396" s="148" t="inlineStr">
        <is>
          <t xml:space="preserve">                    [e+c for e,c in zip(exist_s,commit_s)][idx_2025:],</t>
        </is>
      </c>
    </row>
    <row r="397" ht="13" customHeight="1" s="71">
      <c r="C397" s="148" t="inlineStr">
        <is>
          <t xml:space="preserve">                    alpha=0.25, color=RED, label="Base-case deficit")</t>
        </is>
      </c>
    </row>
    <row r="398" ht="13" customHeight="1" s="71">
      <c r="C398" s="148" t="inlineStr">
        <is>
          <t xml:space="preserve">    ax.set_xticks(x[::2]); ax.set_xticklabels(sd_years[::2], color=MID, fontsize=7.5)</t>
        </is>
      </c>
    </row>
    <row r="399" ht="13" customHeight="1" s="71">
      <c r="C399" s="148" t="inlineStr">
        <is>
          <t xml:space="preserve">    ax.set_ylabel("Copper (Mt)", fontsize=8)</t>
        </is>
      </c>
    </row>
    <row r="400" ht="13" customHeight="1" s="71">
      <c r="C400" s="148" t="inlineStr">
        <is>
          <t xml:space="preserve">    ax.set_title("Copper Global Supply-Demand Balance (2015-2032)\nICSG/Wood Mackenzie base case — committed supply vs growing demand", color=WHITE, fontsize=9.5, pad=10)</t>
        </is>
      </c>
    </row>
    <row r="401" ht="13" customHeight="1" s="71">
      <c r="C401" s="148" t="inlineStr">
        <is>
          <t xml:space="preserve">    ax.legend(fontsize=7.5, facecolor=BLUE, edgecolor=NAVY, labelcolor=WHITE, loc="upper left")</t>
        </is>
      </c>
    </row>
    <row r="402" ht="13" customHeight="1" s="71">
      <c r="C402" s="148" t="inlineStr">
        <is>
          <t xml:space="preserve">    fig.text(0.99, 0.01, "Source: ICSG 2025, Wood Mackenzie, IEA. Workbook: Supply_Demand", color=MID, fontsize=6, ha="right")</t>
        </is>
      </c>
    </row>
    <row r="403" ht="13" customHeight="1" s="71">
      <c r="C403" s="148" t="inlineStr">
        <is>
          <t xml:space="preserve">    save(fig, "m03_supply_demand.png")</t>
        </is>
      </c>
    </row>
    <row r="404" ht="13" customHeight="1" s="71">
      <c r="C404" s="148" t="inlineStr"/>
    </row>
    <row r="405" ht="13" customHeight="1" s="71">
      <c r="C405" s="148" t="inlineStr">
        <is>
          <t xml:space="preserve">    # 2. Annual deficit/surplus</t>
        </is>
      </c>
    </row>
    <row r="406" ht="13" customHeight="1" s="71">
      <c r="C406" s="148" t="inlineStr">
        <is>
          <t xml:space="preserve">    fig, ax = base_fig(11, 5)</t>
        </is>
      </c>
    </row>
    <row r="407" ht="13" customHeight="1" s="71">
      <c r="C407" s="148" t="inlineStr">
        <is>
          <t xml:space="preserve">    deficit_cols = [RED if d &lt; 0 else GREEN for d in deficit_base]</t>
        </is>
      </c>
    </row>
    <row r="408" ht="13" customHeight="1" s="71">
      <c r="C408" s="148" t="inlineStr">
        <is>
          <t xml:space="preserve">    ax.bar(sd_years, deficit_base, color=deficit_cols, alpha=0.85, width=0.7)</t>
        </is>
      </c>
    </row>
    <row r="409" ht="13" customHeight="1" s="71">
      <c r="C409" s="148" t="inlineStr">
        <is>
          <t xml:space="preserve">    ax.axhline(0, color=MID, linewidth=1)</t>
        </is>
      </c>
    </row>
    <row r="410" ht="13" customHeight="1" s="71">
      <c r="C410" s="148" t="inlineStr">
        <is>
          <t xml:space="preserve">    ax.set_ylabel("Annual Surplus / (Deficit) — Mt", fontsize=8)</t>
        </is>
      </c>
    </row>
    <row r="411" ht="13" customHeight="1" s="71">
      <c r="C411" s="148" t="inlineStr">
        <is>
          <t xml:space="preserve">    ax.set_title("Copper Annual Surplus/(Deficit) — Base Case (committed supply only)\nDeficit opens from 2025 and widens materially through 2032", color=WHITE, fontsize=9.5, pad=10)</t>
        </is>
      </c>
    </row>
    <row r="412" ht="13" customHeight="1" s="71">
      <c r="C412" s="148" t="inlineStr">
        <is>
          <t xml:space="preserve">    ax.tick_params(axis="x", colors=MID, labelsize=8)</t>
        </is>
      </c>
    </row>
    <row r="413" ht="13" customHeight="1" s="71">
      <c r="C413" s="148" t="inlineStr">
        <is>
          <t xml:space="preserve">    # Annotate cumulative from 2025</t>
        </is>
      </c>
    </row>
    <row r="414" ht="13" customHeight="1" s="71">
      <c r="C414" s="148" t="inlineStr">
        <is>
          <t xml:space="preserve">    idx_2025b = sd_years.index(2025) if 2025 in sd_years else len(sd_years) // 2</t>
        </is>
      </c>
    </row>
    <row r="415" ht="13" customHeight="1" s="71">
      <c r="C415" s="148" t="inlineStr">
        <is>
          <t xml:space="preserve">    cumdef = sum(d for d in deficit_base[idx_2025b:] if d &lt; 0)</t>
        </is>
      </c>
    </row>
    <row r="416" ht="13" customHeight="1" s="71">
      <c r="C416" s="148" t="inlineStr">
        <is>
          <t xml:space="preserve">    ax.text(0.98, 0.05, f"Cumulative deficit 2025-32:\n{cumdef:.1f} Mt (base case)", transform=ax.transAxes,</t>
        </is>
      </c>
    </row>
    <row r="417" ht="13" customHeight="1" s="71">
      <c r="C417" s="148" t="inlineStr">
        <is>
          <t xml:space="preserve">            ha="right", va="bottom", color=RED, fontsize=8, bbox=dict(boxstyle="round,pad=0.3", facecolor=BLUE, edgecolor=BLUE))</t>
        </is>
      </c>
    </row>
    <row r="418" ht="13" customHeight="1" s="71">
      <c r="C418" s="148" t="inlineStr">
        <is>
          <t xml:space="preserve">    fig.text(0.99, 0.01, "Source: ICSG 2025, Wood Mackenzie. Workbook: Supply_Demand", color=MID, fontsize=6, ha="right")</t>
        </is>
      </c>
    </row>
    <row r="419" ht="13" customHeight="1" s="71">
      <c r="C419" s="148" t="inlineStr">
        <is>
          <t xml:space="preserve">    save(fig, "m03_deficit_annual.png")</t>
        </is>
      </c>
    </row>
    <row r="420" ht="13" customHeight="1" s="71">
      <c r="C420" s="148" t="inlineStr"/>
    </row>
    <row r="421" ht="13" customHeight="1" s="71">
      <c r="C421" s="148" t="inlineStr">
        <is>
          <t xml:space="preserve">    # 3. Demand decomposition stacked</t>
        </is>
      </c>
    </row>
    <row r="422" ht="13" customHeight="1" s="71">
      <c r="C422" s="148" t="inlineStr">
        <is>
          <t xml:space="preserve">    fig, ax = base_fig(11, 5)</t>
        </is>
      </c>
    </row>
    <row r="423" ht="13" customHeight="1" s="71">
      <c r="C423" s="148" t="inlineStr">
        <is>
          <t xml:space="preserve">    x = np.arange(len(sd_years))</t>
        </is>
      </c>
    </row>
    <row r="424" ht="13" customHeight="1" s="71">
      <c r="C424" s="148" t="inlineStr">
        <is>
          <t xml:space="preserve">    ax.stackplot(x, trad_d, et_d, ai_d, labels=["Traditional","Energy Transition","AI / Data Centres"],</t>
        </is>
      </c>
    </row>
    <row r="425" ht="13" customHeight="1" s="71">
      <c r="C425" s="148" t="inlineStr">
        <is>
          <t xml:space="preserve">                 colors=[BLUE, GREEN, GOLD], alpha=0.85)</t>
        </is>
      </c>
    </row>
    <row r="426" ht="13" customHeight="1" s="71">
      <c r="C426" s="148" t="inlineStr">
        <is>
          <t xml:space="preserve">    ax.set_xticks(x[::2]); ax.set_xticklabels(sd_years[::2], color=MID, fontsize=7.5)</t>
        </is>
      </c>
    </row>
    <row r="427" ht="13" customHeight="1" s="71">
      <c r="C427" s="148" t="inlineStr">
        <is>
          <t xml:space="preserve">    idx_2024 = sd_years.index(2024) if 2024 in sd_years else len(sd_years) // 2</t>
        </is>
      </c>
    </row>
    <row r="428" ht="13" customHeight="1" s="71">
      <c r="C428" s="148" t="inlineStr">
        <is>
          <t xml:space="preserve">    ax.axvline(idx_2024, color=MID, linewidth=0.8, linestyle="--", alpha=0.5)</t>
        </is>
      </c>
    </row>
    <row r="429" ht="13" customHeight="1" s="71">
      <c r="C429" s="148" t="inlineStr">
        <is>
          <t xml:space="preserve">    ax.text(idx_2024+0.2, ax.get_ylim()[1]*0.95 if ax.get_ylim()[1] &gt; 0 else 35,</t>
        </is>
      </c>
    </row>
    <row r="430" ht="13" customHeight="1" s="71">
      <c r="C430" s="148" t="inlineStr">
        <is>
          <t xml:space="preserve">            "2024→", color=MID, fontsize=7)</t>
        </is>
      </c>
    </row>
    <row r="431" ht="13" customHeight="1" s="71">
      <c r="C431" s="148" t="inlineStr">
        <is>
          <t xml:space="preserve">    ax.set_ylabel("Copper Demand (Mt)", fontsize=8)</t>
        </is>
      </c>
    </row>
    <row r="432" ht="13" customHeight="1" s="71">
      <c r="C432" s="148" t="inlineStr">
        <is>
          <t xml:space="preserve">    ax.set_title("Copper Demand Decomposition: Three Structural Drivers (2015-2032)\nAI data centres the newest layer; energy transition the primary growth driver", color=WHITE, fontsize=9.5, pad=10)</t>
        </is>
      </c>
    </row>
    <row r="433" ht="13" customHeight="1" s="71">
      <c r="C433" s="148" t="inlineStr">
        <is>
          <t xml:space="preserve">    ax.legend(fontsize=7.5, facecolor=BLUE, edgecolor=NAVY, labelcolor=WHITE)</t>
        </is>
      </c>
    </row>
    <row r="434" ht="13" customHeight="1" s="71">
      <c r="C434" s="148" t="inlineStr">
        <is>
          <t xml:space="preserve">    fig.text(0.99, 0.01, "Source: IEA, ICSG, author model. Workbook: Supply_Demand", color=MID, fontsize=6, ha="right")</t>
        </is>
      </c>
    </row>
    <row r="435" ht="13" customHeight="1" s="71">
      <c r="C435" s="148" t="inlineStr">
        <is>
          <t xml:space="preserve">    save(fig, "m03_demand_decomp.png")</t>
        </is>
      </c>
    </row>
    <row r="436" ht="13" customHeight="1" s="71">
      <c r="C436" s="148" t="inlineStr"/>
    </row>
    <row r="437" ht="13" customHeight="1" s="71">
      <c r="C437" s="148" t="inlineStr">
        <is>
          <t xml:space="preserve">    # 4. Miner EV/EBITDA comps</t>
        </is>
      </c>
    </row>
    <row r="438" ht="13" customHeight="1" s="71">
      <c r="C438" s="148" t="inlineStr">
        <is>
          <t xml:space="preserve">    ws_mc = wb["Miner_Comps"]</t>
        </is>
      </c>
    </row>
    <row r="439" ht="13" customHeight="1" s="71">
      <c r="C439" s="148" t="inlineStr">
        <is>
          <t xml:space="preserve">    m_names, m_curr, m_5yr = [], [], []</t>
        </is>
      </c>
    </row>
    <row r="440" ht="13" customHeight="1" s="71">
      <c r="C440" s="148" t="inlineStr">
        <is>
          <t xml:space="preserve">    for row in ws_mc.iter_rows(min_row=3, max_row=8, values_only=True):</t>
        </is>
      </c>
    </row>
    <row r="441" ht="13" customHeight="1" s="71">
      <c r="C441" s="148" t="inlineStr">
        <is>
          <t xml:space="preserve">        if row[0] and row[0] not in ("Company", "SECTOR MEDIAN"):</t>
        </is>
      </c>
    </row>
    <row r="442" ht="13" customHeight="1" s="71">
      <c r="C442" s="148" t="inlineStr">
        <is>
          <t xml:space="preserve">            m_names.append(str(row[1]))  # ticker</t>
        </is>
      </c>
    </row>
    <row r="443" ht="13" customHeight="1" s="71">
      <c r="C443" s="148" t="inlineStr">
        <is>
          <t xml:space="preserve">            m_curr.append(float(row[2]) if row[2] and isinstance(row[2],(int,float)) else 0)</t>
        </is>
      </c>
    </row>
    <row r="444" ht="13" customHeight="1" s="71">
      <c r="C444" s="148" t="inlineStr">
        <is>
          <t xml:space="preserve">            m_5yr.append(float(row[3]) if row[3] and isinstance(row[3],(int,float)) else 0)</t>
        </is>
      </c>
    </row>
    <row r="445" ht="13" customHeight="1" s="71">
      <c r="C445" s="148" t="inlineStr">
        <is>
          <t xml:space="preserve">    fig, ax = base_fig(9, 5)</t>
        </is>
      </c>
    </row>
    <row r="446" ht="13" customHeight="1" s="71">
      <c r="C446" s="148" t="inlineStr">
        <is>
          <t xml:space="preserve">    x = np.arange(len(m_names))</t>
        </is>
      </c>
    </row>
    <row r="447" ht="13" customHeight="1" s="71">
      <c r="C447" s="148" t="inlineStr">
        <is>
          <t xml:space="preserve">    w = 0.35</t>
        </is>
      </c>
    </row>
    <row r="448" ht="13" customHeight="1" s="71">
      <c r="C448" s="148" t="inlineStr">
        <is>
          <t xml:space="preserve">    ax.bar(x - w/2, m_curr, w, color=RED, alpha=0.85, label="Current EV/EBITDA (2026E)")</t>
        </is>
      </c>
    </row>
    <row r="449" ht="13" customHeight="1" s="71">
      <c r="C449" s="148" t="inlineStr">
        <is>
          <t xml:space="preserve">    ax.bar(x + w/2, m_5yr,  w, color=GOLD, alpha=0.6, label="5yr Avg EV/EBITDA", hatch="//")</t>
        </is>
      </c>
    </row>
    <row r="450" ht="13" customHeight="1" s="71">
      <c r="C450" s="148" t="inlineStr">
        <is>
          <t xml:space="preserve">    ax.set_xticks(x); ax.set_xticklabels(m_names, color=MID, fontsize=8)</t>
        </is>
      </c>
    </row>
    <row r="451" ht="13" customHeight="1" s="71">
      <c r="C451" s="148" t="inlineStr">
        <is>
          <t xml:space="preserve">    ax.set_ylabel("EV/EBITDA (x)", fontsize=8)</t>
        </is>
      </c>
    </row>
    <row r="452" ht="13" customHeight="1" s="71">
      <c r="C452" s="148" t="inlineStr">
        <is>
          <t xml:space="preserve">    ax.set_title("Copper Miner EV/EBITDA: Current vs 5yr Average\nMiners pricing copper below incentive price — sector median ~22% discount", color=WHITE, fontsize=9.5, pad=10)</t>
        </is>
      </c>
    </row>
    <row r="453" ht="13" customHeight="1" s="71">
      <c r="C453" s="148" t="inlineStr">
        <is>
          <t xml:space="preserve">    ax.legend(fontsize=8, facecolor=BLUE, edgecolor=NAVY, labelcolor=WHITE)</t>
        </is>
      </c>
    </row>
    <row r="454" ht="13" customHeight="1" s="71">
      <c r="C454" s="148" t="inlineStr">
        <is>
          <t xml:space="preserve">    # Discount labels</t>
        </is>
      </c>
    </row>
    <row r="455" ht="13" customHeight="1" s="71">
      <c r="C455" s="148" t="inlineStr">
        <is>
          <t xml:space="preserve">    for i, (c, avg) in enumerate(zip(m_curr, m_5yr)):</t>
        </is>
      </c>
    </row>
    <row r="456" ht="13" customHeight="1" s="71">
      <c r="C456" s="148" t="inlineStr">
        <is>
          <t xml:space="preserve">        if avg &gt; 0:</t>
        </is>
      </c>
    </row>
    <row r="457" ht="13" customHeight="1" s="71">
      <c r="C457" s="148" t="inlineStr">
        <is>
          <t xml:space="preserve">            disc = (c/avg - 1)*100</t>
        </is>
      </c>
    </row>
    <row r="458" ht="13" customHeight="1" s="71">
      <c r="C458" s="148" t="inlineStr">
        <is>
          <t xml:space="preserve">            ax.text(i, max(c, avg) + 0.15, f"{disc:.0f}%", ha="center", color=RED if disc &lt; 0 else GREEN, fontsize=7.5)</t>
        </is>
      </c>
    </row>
    <row r="459" ht="13" customHeight="1" s="71">
      <c r="C459" s="148" t="inlineStr">
        <is>
          <t xml:space="preserve">    fig.text(0.99, 0.01, "Source: Bloomberg, FactSet Apr 2026. Workbook: Miner_Comps", color=MID, fontsize=6, ha="right")</t>
        </is>
      </c>
    </row>
    <row r="460" ht="13" customHeight="1" s="71">
      <c r="C460" s="148" t="inlineStr">
        <is>
          <t xml:space="preserve">    save(fig, "m03_miner_valuation.png")</t>
        </is>
      </c>
    </row>
    <row r="461" ht="13" customHeight="1" s="71">
      <c r="C461" s="148" t="inlineStr"/>
    </row>
    <row r="462" ht="13" customHeight="1" s="71">
      <c r="C462" s="148" t="inlineStr">
        <is>
          <t xml:space="preserve">    # 5. DXY vs copper price dual axis</t>
        </is>
      </c>
    </row>
    <row r="463" ht="13" customHeight="1" s="71">
      <c r="C463" s="148" t="inlineStr">
        <is>
          <t xml:space="preserve">    ws_pr = wb["Price_DXY"]</t>
        </is>
      </c>
    </row>
    <row r="464" ht="13" customHeight="1" s="71">
      <c r="C464" s="148" t="inlineStr">
        <is>
          <t xml:space="preserve">    pr_years, cu_lb, dxy = [], [], []</t>
        </is>
      </c>
    </row>
    <row r="465" ht="13" customHeight="1" s="71">
      <c r="C465" s="148" t="inlineStr">
        <is>
          <t xml:space="preserve">    for row in ws_pr.iter_rows(min_row=3, max_row=22, values_only=True):</t>
        </is>
      </c>
    </row>
    <row r="466" ht="13" customHeight="1" s="71">
      <c r="C466" s="148" t="inlineStr">
        <is>
          <t xml:space="preserve">        if row[0] and isinstance(row[0], (int, float)):</t>
        </is>
      </c>
    </row>
    <row r="467" ht="13" customHeight="1" s="71">
      <c r="C467" s="148" t="inlineStr">
        <is>
          <t xml:space="preserve">            pr_years.append(int(row[0]))</t>
        </is>
      </c>
    </row>
    <row r="468" ht="13" customHeight="1" s="71">
      <c r="C468" s="148" t="inlineStr">
        <is>
          <t xml:space="preserve">            cu_lb.append(float(row[1]) if row[1] else None)</t>
        </is>
      </c>
    </row>
    <row r="469" ht="13" customHeight="1" s="71">
      <c r="C469" s="148" t="inlineStr">
        <is>
          <t xml:space="preserve">            dxy.append(float(row[3]) if row[3] else None)</t>
        </is>
      </c>
    </row>
    <row r="470" ht="13" customHeight="1" s="71">
      <c r="C470" s="148" t="inlineStr">
        <is>
          <t xml:space="preserve">    # Filter out None pairs</t>
        </is>
      </c>
    </row>
    <row r="471" ht="13" customHeight="1" s="71">
      <c r="C471" s="148" t="inlineStr">
        <is>
          <t xml:space="preserve">    valid = [(y, c, d) for y, c, d in zip(pr_years, cu_lb, dxy) if c and d]</t>
        </is>
      </c>
    </row>
    <row r="472" ht="13" customHeight="1" s="71">
      <c r="C472" s="148" t="inlineStr">
        <is>
          <t xml:space="preserve">    if valid:</t>
        </is>
      </c>
    </row>
    <row r="473" ht="13" customHeight="1" s="71">
      <c r="C473" s="148" t="inlineStr">
        <is>
          <t xml:space="preserve">        pr_years_v, cu_lb_v, dxy_v = zip(*valid)</t>
        </is>
      </c>
    </row>
    <row r="474" ht="13" customHeight="1" s="71">
      <c r="C474" s="148" t="inlineStr">
        <is>
          <t xml:space="preserve">        fig, ax1 = plt.subplots(figsize=(11, 5), facecolor=NAVY)</t>
        </is>
      </c>
    </row>
    <row r="475" ht="13" customHeight="1" s="71">
      <c r="C475" s="148" t="inlineStr">
        <is>
          <t xml:space="preserve">        ax1.set_facecolor(NAVY)</t>
        </is>
      </c>
    </row>
    <row r="476" ht="13" customHeight="1" s="71">
      <c r="C476" s="148" t="inlineStr">
        <is>
          <t xml:space="preserve">        ax1.plot(pr_years_v, cu_lb_v, color=GOLD, linewidth=2.5, marker="o", markersize=4.5, label="LME Copper ($/lb)")</t>
        </is>
      </c>
    </row>
    <row r="477" ht="13" customHeight="1" s="71">
      <c r="C477" s="148" t="inlineStr">
        <is>
          <t xml:space="preserve">        ax1.set_ylabel("LME Copper ($/lb)", color=GOLD, fontsize=8)</t>
        </is>
      </c>
    </row>
    <row r="478" ht="13" customHeight="1" s="71">
      <c r="C478" s="148" t="inlineStr">
        <is>
          <t xml:space="preserve">        ax1.tick_params(colors=MID)</t>
        </is>
      </c>
    </row>
    <row r="479" ht="13" customHeight="1" s="71">
      <c r="C479" s="148" t="inlineStr">
        <is>
          <t xml:space="preserve">        for spine in ax1.spines.values(): spine.set_edgecolor(BLUE)</t>
        </is>
      </c>
    </row>
    <row r="480" ht="13" customHeight="1" s="71">
      <c r="C480" s="148" t="inlineStr">
        <is>
          <t xml:space="preserve">        ax1.spines["top"].set_visible(False)</t>
        </is>
      </c>
    </row>
    <row r="481" ht="13" customHeight="1" s="71">
      <c r="C481" s="148" t="inlineStr">
        <is>
          <t xml:space="preserve">        ax1.set_facecolor(NAVY)</t>
        </is>
      </c>
    </row>
    <row r="482" ht="13" customHeight="1" s="71">
      <c r="C482" s="148" t="inlineStr">
        <is>
          <t xml:space="preserve">        ax1.grid(axis="y", color=BLUE, alpha=0.2, linewidth=0.5)</t>
        </is>
      </c>
    </row>
    <row r="483" ht="13" customHeight="1" s="71">
      <c r="C483" s="148" t="inlineStr">
        <is>
          <t xml:space="preserve">        ax2 = ax1.twinx()</t>
        </is>
      </c>
    </row>
    <row r="484" ht="13" customHeight="1" s="71">
      <c r="C484" s="148" t="inlineStr">
        <is>
          <t xml:space="preserve">        ax2.set_facecolor(NAVY)</t>
        </is>
      </c>
    </row>
    <row r="485" ht="13" customHeight="1" s="71">
      <c r="C485" s="148" t="inlineStr">
        <is>
          <t xml:space="preserve">        ax2.plot(pr_years_v, dxy_v, color=ACCENT, linewidth=2, linestyle="--", marker="s", markersize=3.5, label="DXY Index")</t>
        </is>
      </c>
    </row>
    <row r="486" ht="13" customHeight="1" s="71">
      <c r="C486" s="148" t="inlineStr">
        <is>
          <t xml:space="preserve">        ax2.set_ylabel("DXY Index", color=ACCENT, fontsize=8)</t>
        </is>
      </c>
    </row>
    <row r="487" ht="13" customHeight="1" s="71">
      <c r="C487" s="148" t="inlineStr">
        <is>
          <t xml:space="preserve">        ax2.tick_params(colors=MID)</t>
        </is>
      </c>
    </row>
    <row r="488" ht="13" customHeight="1" s="71">
      <c r="C488" s="148" t="inlineStr">
        <is>
          <t xml:space="preserve">        ax2.spines["right"].set_edgecolor(BLUE)</t>
        </is>
      </c>
    </row>
    <row r="489" ht="13" customHeight="1" s="71">
      <c r="C489" s="148" t="inlineStr">
        <is>
          <t xml:space="preserve">        ax2.spines["top"].set_visible(False)</t>
        </is>
      </c>
    </row>
    <row r="490" ht="13" customHeight="1" s="71">
      <c r="C490" s="148" t="inlineStr">
        <is>
          <t xml:space="preserve">        lines = [plt.Line2D([0],[0], color=GOLD, marker="o", label="Copper ($/lb)"),</t>
        </is>
      </c>
    </row>
    <row r="491" ht="13" customHeight="1" s="71">
      <c r="C491" s="148" t="inlineStr">
        <is>
          <t xml:space="preserve">                 plt.Line2D([0],[0], color=ACCENT, marker="s", linestyle="--", label="DXY Index")]</t>
        </is>
      </c>
    </row>
    <row r="492" ht="13" customHeight="1" s="71">
      <c r="C492" s="148" t="inlineStr">
        <is>
          <t xml:space="preserve">        ax1.legend(handles=lines, fontsize=8, facecolor=BLUE, edgecolor=NAVY, labelcolor=WHITE)</t>
        </is>
      </c>
    </row>
    <row r="493" ht="13" customHeight="1" s="71">
      <c r="C493" s="148" t="inlineStr">
        <is>
          <t xml:space="preserve">        ax1.set_title("LME Copper Price vs DXY Index (2010-2024)\nInverse relationship most pronounced at cycle turning points", color=WHITE, fontsize=9.5, pad=10)</t>
        </is>
      </c>
    </row>
    <row r="494" ht="13" customHeight="1" s="71">
      <c r="C494" s="148" t="inlineStr">
        <is>
          <t xml:space="preserve">        fig.text(0.99, 0.01, "Source: LME, Bloomberg, Federal Reserve. Workbook: Price_DXY", color=MID, fontsize=6, ha="right")</t>
        </is>
      </c>
    </row>
    <row r="495" ht="13" customHeight="1" s="71">
      <c r="C495" s="148" t="inlineStr">
        <is>
          <t xml:space="preserve">        fig.set_facecolor(NAVY)</t>
        </is>
      </c>
    </row>
    <row r="496" ht="13" customHeight="1" s="71">
      <c r="C496" s="148" t="inlineStr">
        <is>
          <t xml:space="preserve">        save(fig, "m03_dxy_copper.png")</t>
        </is>
      </c>
    </row>
    <row r="497" ht="13" customHeight="1" s="71">
      <c r="C497" s="148" t="inlineStr"/>
    </row>
    <row r="498" ht="13" customHeight="1" s="71">
      <c r="C498" s="148" t="inlineStr">
        <is>
          <t xml:space="preserve">    # 6. LME+SHFE Inventory</t>
        </is>
      </c>
    </row>
    <row r="499" ht="13" customHeight="1" s="71">
      <c r="C499" s="148" t="inlineStr">
        <is>
          <t xml:space="preserve">    ws_inv = wb["LME_SHFE_Inventory"]</t>
        </is>
      </c>
    </row>
    <row r="500" ht="13" customHeight="1" s="71">
      <c r="C500" s="148" t="inlineStr">
        <is>
          <t xml:space="preserve">    inv_years, lme_inv, shfe_inv, days_cov = [], [], [], []</t>
        </is>
      </c>
    </row>
    <row r="501" ht="13" customHeight="1" s="71">
      <c r="C501" s="148" t="inlineStr">
        <is>
          <t xml:space="preserve">    for row in ws_inv.iter_rows(min_row=4, max_row=16, values_only=True):</t>
        </is>
      </c>
    </row>
    <row r="502" ht="13" customHeight="1" s="71">
      <c r="C502" s="148" t="inlineStr">
        <is>
          <t xml:space="preserve">        if row[0] and isinstance(row[0], (int, float)):</t>
        </is>
      </c>
    </row>
    <row r="503" ht="13" customHeight="1" s="71">
      <c r="C503" s="148" t="inlineStr">
        <is>
          <t xml:space="preserve">            inv_years.append(int(row[0]))</t>
        </is>
      </c>
    </row>
    <row r="504" ht="13" customHeight="1" s="71">
      <c r="C504" s="148" t="inlineStr">
        <is>
          <t xml:space="preserve">            lme_inv.append(float(row[1]) if row[1] else 0)</t>
        </is>
      </c>
    </row>
    <row r="505" ht="13" customHeight="1" s="71">
      <c r="C505" s="148" t="inlineStr">
        <is>
          <t xml:space="preserve">            shfe_inv.append(float(row[2]) if row[2] else 0)</t>
        </is>
      </c>
    </row>
    <row r="506" ht="13" customHeight="1" s="71">
      <c r="C506" s="148" t="inlineStr">
        <is>
          <t xml:space="preserve">            days_cov.append(float(row[5]) if row[5] and isinstance(row[5],(int,float)) else None)</t>
        </is>
      </c>
    </row>
    <row r="507" ht="13" customHeight="1" s="71">
      <c r="C507" s="148" t="inlineStr">
        <is>
          <t xml:space="preserve">    fig, ax1 = plt.subplots(figsize=(10, 5), facecolor=NAVY)</t>
        </is>
      </c>
    </row>
    <row r="508" ht="13" customHeight="1" s="71">
      <c r="C508" s="148" t="inlineStr">
        <is>
          <t xml:space="preserve">    ax1.set_facecolor(NAVY)</t>
        </is>
      </c>
    </row>
    <row r="509" ht="13" customHeight="1" s="71">
      <c r="C509" s="148" t="inlineStr">
        <is>
          <t xml:space="preserve">    x = np.arange(len(inv_years))</t>
        </is>
      </c>
    </row>
    <row r="510" ht="13" customHeight="1" s="71">
      <c r="C510" s="148" t="inlineStr">
        <is>
          <t xml:space="preserve">    ax1.bar(x, lme_inv,  color=BLUE,  alpha=0.85, label="LME Inventory (kt)", width=0.7)</t>
        </is>
      </c>
    </row>
    <row r="511" ht="13" customHeight="1" s="71">
      <c r="C511" s="148" t="inlineStr">
        <is>
          <t xml:space="preserve">    ax1.bar(x, shfe_inv, color=ACCENT, alpha=0.7,  label="SHFE Inventory (kt)", width=0.7,</t>
        </is>
      </c>
    </row>
    <row r="512" ht="13" customHeight="1" s="71">
      <c r="C512" s="148" t="inlineStr">
        <is>
          <t xml:space="preserve">            bottom=lme_inv)</t>
        </is>
      </c>
    </row>
    <row r="513" ht="13" customHeight="1" s="71">
      <c r="C513" s="148" t="inlineStr">
        <is>
          <t xml:space="preserve">    ax1.set_xticks(x); ax1.set_xticklabels(inv_years, color=MID, fontsize=7.5)</t>
        </is>
      </c>
    </row>
    <row r="514" ht="13" customHeight="1" s="71">
      <c r="C514" s="148" t="inlineStr">
        <is>
          <t xml:space="preserve">    ax1.set_ylabel("Total Exchange Stocks (kt)", color=MID, fontsize=8)</t>
        </is>
      </c>
    </row>
    <row r="515" ht="13" customHeight="1" s="71">
      <c r="C515" s="148" t="inlineStr">
        <is>
          <t xml:space="preserve">    ax1.tick_params(colors=MID)</t>
        </is>
      </c>
    </row>
    <row r="516" ht="13" customHeight="1" s="71">
      <c r="C516" s="148" t="inlineStr">
        <is>
          <t xml:space="preserve">    for s in ax1.spines.values(): s.set_edgecolor(BLUE)</t>
        </is>
      </c>
    </row>
    <row r="517" ht="13" customHeight="1" s="71">
      <c r="C517" s="148" t="inlineStr">
        <is>
          <t xml:space="preserve">    ax1.set_facecolor(NAVY)</t>
        </is>
      </c>
    </row>
    <row r="518" ht="13" customHeight="1" s="71">
      <c r="C518" s="148" t="inlineStr">
        <is>
          <t xml:space="preserve">    ax1.grid(axis="y", color=BLUE, alpha=0.2, linewidth=0.5)</t>
        </is>
      </c>
    </row>
    <row r="519" ht="13" customHeight="1" s="71">
      <c r="C519" s="148" t="inlineStr">
        <is>
          <t xml:space="preserve">    if any(d for d in days_cov if d):</t>
        </is>
      </c>
    </row>
    <row r="520" ht="13" customHeight="1" s="71">
      <c r="C520" s="148" t="inlineStr">
        <is>
          <t xml:space="preserve">        ax2 = ax1.twinx()</t>
        </is>
      </c>
    </row>
    <row r="521" ht="13" customHeight="1" s="71">
      <c r="C521" s="148" t="inlineStr">
        <is>
          <t xml:space="preserve">        ax2.set_facecolor(NAVY)</t>
        </is>
      </c>
    </row>
    <row r="522" ht="13" customHeight="1" s="71">
      <c r="C522" s="148" t="inlineStr">
        <is>
          <t xml:space="preserve">        valid_days = [(i, d) for i, d in enumerate(days_cov) if d]</t>
        </is>
      </c>
    </row>
    <row r="523" ht="13" customHeight="1" s="71">
      <c r="C523" s="148" t="inlineStr">
        <is>
          <t xml:space="preserve">        ax2.plot([i for i,d in valid_days], [d for i,d in valid_days],</t>
        </is>
      </c>
    </row>
    <row r="524" ht="13" customHeight="1" s="71">
      <c r="C524" s="148" t="inlineStr">
        <is>
          <t xml:space="preserve">                 color=GOLD, linewidth=2, marker="D", markersize=4, label="Days of demand coverage")</t>
        </is>
      </c>
    </row>
    <row r="525" ht="13" customHeight="1" s="71">
      <c r="C525" s="148" t="inlineStr">
        <is>
          <t xml:space="preserve">        ax2.set_ylabel("Days of Demand Coverage", color=GOLD, fontsize=8)</t>
        </is>
      </c>
    </row>
    <row r="526" ht="13" customHeight="1" s="71">
      <c r="C526" s="148" t="inlineStr">
        <is>
          <t xml:space="preserve">        ax2.tick_params(colors=MID)</t>
        </is>
      </c>
    </row>
    <row r="527" ht="13" customHeight="1" s="71">
      <c r="C527" s="148" t="inlineStr">
        <is>
          <t xml:space="preserve">        ax2.spines["right"].set_edgecolor(BLUE)</t>
        </is>
      </c>
    </row>
    <row r="528" ht="13" customHeight="1" s="71">
      <c r="C528" s="148" t="inlineStr">
        <is>
          <t xml:space="preserve">        ax2.spines["top"].set_visible(False)</t>
        </is>
      </c>
    </row>
    <row r="529" ht="13" customHeight="1" s="71">
      <c r="C529" s="148" t="inlineStr">
        <is>
          <t xml:space="preserve">    ax1.legend(fontsize=8, facecolor=BLUE, edgecolor=NAVY, labelcolor=WHITE, loc="upper right")</t>
        </is>
      </c>
    </row>
    <row r="530" ht="13" customHeight="1" s="71">
      <c r="C530" s="148" t="inlineStr">
        <is>
          <t xml:space="preserve">    ax1.set_title("LME + SHFE Copper Exchange Stocks (2015-2025)\nInventory at 2.6 days demand coverage — near 10-year low", color=WHITE, fontsize=9.5, pad=10)</t>
        </is>
      </c>
    </row>
    <row r="531" ht="13" customHeight="1" s="71">
      <c r="C531" s="148" t="inlineStr">
        <is>
          <t xml:space="preserve">    fig.text(0.99, 0.01, "Source: LME, SHFE. Workbook: LME_SHFE_Inventory", color=MID, fontsize=6, ha="right")</t>
        </is>
      </c>
    </row>
    <row r="532" ht="13" customHeight="1" s="71">
      <c r="C532" s="148" t="inlineStr">
        <is>
          <t xml:space="preserve">    fig.set_facecolor(NAVY)</t>
        </is>
      </c>
    </row>
    <row r="533" ht="13" customHeight="1" s="71">
      <c r="C533" s="148" t="inlineStr">
        <is>
          <t xml:space="preserve">    save(fig, "m03_inventory.png")</t>
        </is>
      </c>
    </row>
    <row r="534" ht="13" customHeight="1" s="71">
      <c r="C534" s="148" t="inlineStr"/>
    </row>
    <row r="535" ht="13" customHeight="1" s="71">
      <c r="C535" s="148" t="inlineStr">
        <is>
          <t xml:space="preserve">    # 7. EBITDA sensitivity</t>
        </is>
      </c>
    </row>
    <row r="536" ht="13" customHeight="1" s="71">
      <c r="C536" s="148" t="inlineStr">
        <is>
          <t xml:space="preserve">    cu_prices = [4.00, 4.50, 5.00, 5.50, 6.00]</t>
        </is>
      </c>
    </row>
    <row r="537" ht="13" customHeight="1" s="71">
      <c r="C537" s="148" t="inlineStr">
        <is>
          <t xml:space="preserve">    ebitda_idx = [0.87, 1.0, 1.18, 1.35, 1.53]</t>
        </is>
      </c>
    </row>
    <row r="538" ht="13" customHeight="1" s="71">
      <c r="C538" s="148" t="inlineStr">
        <is>
          <t xml:space="preserve">    fig, ax = base_fig(8, 4.5)</t>
        </is>
      </c>
    </row>
    <row r="539" ht="13" customHeight="1" s="71">
      <c r="C539" s="148" t="inlineStr">
        <is>
          <t xml:space="preserve">    colors_e = [RED, BLUE, BLUE, GREEN, GREEN]</t>
        </is>
      </c>
    </row>
    <row r="540" ht="13" customHeight="1" s="71">
      <c r="C540" s="148" t="inlineStr">
        <is>
          <t xml:space="preserve">    bars = ax.bar([f"${p:.2f}/lb" for p in cu_prices], ebitda_idx, color=colors_e, alpha=0.85, width=0.45)</t>
        </is>
      </c>
    </row>
    <row r="541" ht="13" customHeight="1" s="71">
      <c r="C541" s="148" t="inlineStr">
        <is>
          <t xml:space="preserve">    ax.axhline(1.0, color=GOLD, linewidth=1.5, linestyle="--", alpha=0.7, label="Base (spot $4.50)")</t>
        </is>
      </c>
    </row>
    <row r="542" ht="13" customHeight="1" s="71">
      <c r="C542" s="148" t="inlineStr">
        <is>
          <t xml:space="preserve">    ax.set_ylabel("Sector EBITDA Index (base = $4.50/lb = 1.0)", fontsize=7.5)</t>
        </is>
      </c>
    </row>
    <row r="543" ht="13" customHeight="1" s="71">
      <c r="C543" s="148" t="inlineStr">
        <is>
          <t xml:space="preserve">    ax.set_title("Copper Miner EBITDA Sensitivity to Copper Price\nAt Goldman Sachs $5.50/lb target, EBITDA +35% vs base", color=WHITE, fontsize=9.5, pad=10)</t>
        </is>
      </c>
    </row>
    <row r="544" ht="13" customHeight="1" s="71">
      <c r="C544" s="148" t="inlineStr">
        <is>
          <t xml:space="preserve">    for bar, idx in zip(bars, ebitda_idx):</t>
        </is>
      </c>
    </row>
    <row r="545" ht="13" customHeight="1" s="71">
      <c r="C545" s="148" t="inlineStr">
        <is>
          <t xml:space="preserve">        ax.text(bar.get_x() + bar.get_width()/2, idx + 0.015, f"{idx:.2f}x", ha="center", color=WHITE, fontsize=8, fontweight="bold")</t>
        </is>
      </c>
    </row>
    <row r="546" ht="13" customHeight="1" s="71">
      <c r="C546" s="148" t="inlineStr">
        <is>
          <t xml:space="preserve">    ax.legend(fontsize=8, facecolor=BLUE, edgecolor=NAVY, labelcolor=WHITE)</t>
        </is>
      </c>
    </row>
    <row r="547" ht="13" customHeight="1" s="71">
      <c r="C547" s="148" t="inlineStr">
        <is>
          <t xml:space="preserve">    fig.text(0.99, 0.01, "Source: Bloomberg consensus Apr 2026, FactSet. Workbook: Miner_Comps", color=MID, fontsize=6, ha="right")</t>
        </is>
      </c>
    </row>
    <row r="548" ht="13" customHeight="1" s="71">
      <c r="C548" s="148" t="inlineStr">
        <is>
          <t xml:space="preserve">    save(fig, "m03_ebitda_sensitivity.png")</t>
        </is>
      </c>
    </row>
    <row r="549" ht="13" customHeight="1" s="71">
      <c r="C549" s="148" t="inlineStr"/>
    </row>
    <row r="550" ht="13" customHeight="1" s="71">
      <c r="C550" s="148" t="inlineStr"/>
    </row>
    <row r="551" ht="13" customHeight="1" s="71">
      <c r="C551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52" ht="13" customHeight="1" s="71">
      <c r="C552" s="148" t="inlineStr">
        <is>
          <t># SHORT MEMO 04 — Emerging Markets</t>
        </is>
      </c>
    </row>
    <row r="553" ht="13" customHeight="1" s="71">
      <c r="C553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554" ht="13" customHeight="1" s="71">
      <c r="C554" s="148" t="inlineStr">
        <is>
          <t>def memo04_charts():</t>
        </is>
      </c>
    </row>
    <row r="555" ht="13" customHeight="1" s="71">
      <c r="C555" s="148" t="inlineStr">
        <is>
          <t xml:space="preserve">    wb = openpyxl.load_workbook("mnt/outputs/memo-04-emerging-markets-data.xlsx", data_only=True)</t>
        </is>
      </c>
    </row>
    <row r="556" ht="13" customHeight="1" s="71">
      <c r="C556" s="148" t="inlineStr"/>
    </row>
    <row r="557" ht="13" customHeight="1" s="71">
      <c r="C557" s="148" t="inlineStr">
        <is>
          <t xml:space="preserve">    # --- DXY vs EM ---</t>
        </is>
      </c>
    </row>
    <row r="558" ht="13" customHeight="1" s="71">
      <c r="C558" s="148" t="inlineStr">
        <is>
          <t xml:space="preserve">    ws_dxy = wb["DXY_MSCI_EM"]</t>
        </is>
      </c>
    </row>
    <row r="559" ht="13" customHeight="1" s="71">
      <c r="C559" s="148" t="inlineStr">
        <is>
          <t xml:space="preserve">    em_years, dxy_vals, em_ret, dm_ret = [], [], [], []</t>
        </is>
      </c>
    </row>
    <row r="560" ht="13" customHeight="1" s="71">
      <c r="C560" s="148" t="inlineStr">
        <is>
          <t xml:space="preserve">    for row in ws_dxy.iter_rows(min_row=3, max_row=22, values_only=True):</t>
        </is>
      </c>
    </row>
    <row r="561" ht="13" customHeight="1" s="71">
      <c r="C561" s="148" t="inlineStr">
        <is>
          <t xml:space="preserve">        if row[0] and isinstance(row[0], (int, float)):</t>
        </is>
      </c>
    </row>
    <row r="562" ht="13" customHeight="1" s="71">
      <c r="C562" s="148" t="inlineStr">
        <is>
          <t xml:space="preserve">            em_years.append(int(row[0]))</t>
        </is>
      </c>
    </row>
    <row r="563" ht="13" customHeight="1" s="71">
      <c r="C563" s="148" t="inlineStr">
        <is>
          <t xml:space="preserve">            dxy_vals.append(float(row[1]) if row[1] else None)</t>
        </is>
      </c>
    </row>
    <row r="564" ht="13" customHeight="1" s="71">
      <c r="C564" s="148" t="inlineStr">
        <is>
          <t xml:space="preserve">            em_ret.append(float(row[2]) if row[2] else None)</t>
        </is>
      </c>
    </row>
    <row r="565" ht="13" customHeight="1" s="71">
      <c r="C565" s="148" t="inlineStr">
        <is>
          <t xml:space="preserve">            dm_ret.append(float(row[3]) if row[3] else None)</t>
        </is>
      </c>
    </row>
    <row r="566" ht="13" customHeight="1" s="71">
      <c r="C566" s="148" t="inlineStr"/>
    </row>
    <row r="567" ht="13" customHeight="1" s="71">
      <c r="C567" s="148" t="inlineStr">
        <is>
          <t xml:space="preserve">    # 1. DXY vs EM scatter</t>
        </is>
      </c>
    </row>
    <row r="568" ht="13" customHeight="1" s="71">
      <c r="C568" s="148" t="inlineStr">
        <is>
          <t xml:space="preserve">    valid = [(y, d, e) for y, d, e in zip(em_years, dxy_vals, em_ret) if d and e is not None]</t>
        </is>
      </c>
    </row>
    <row r="569" ht="13" customHeight="1" s="71">
      <c r="C569" s="148" t="inlineStr">
        <is>
          <t xml:space="preserve">    if valid:</t>
        </is>
      </c>
    </row>
    <row r="570" ht="13" customHeight="1" s="71">
      <c r="C570" s="148" t="inlineStr">
        <is>
          <t xml:space="preserve">        vy, vd, ve = zip(*valid)</t>
        </is>
      </c>
    </row>
    <row r="571" ht="13" customHeight="1" s="71">
      <c r="C571" s="148" t="inlineStr">
        <is>
          <t xml:space="preserve">        from scipy import stats</t>
        </is>
      </c>
    </row>
    <row r="572" ht="13" customHeight="1" s="71">
      <c r="C572" s="148" t="inlineStr">
        <is>
          <t xml:space="preserve">        slope, intercept, r, p, se = stats.linregress(vd, ve)</t>
        </is>
      </c>
    </row>
    <row r="573" ht="13" customHeight="1" s="71">
      <c r="C573" s="148" t="inlineStr">
        <is>
          <t xml:space="preserve">        fig, ax = base_fig(9, 5.5)</t>
        </is>
      </c>
    </row>
    <row r="574" ht="13" customHeight="1" s="71">
      <c r="C574" s="148" t="inlineStr">
        <is>
          <t xml:space="preserve">        sc = ax.scatter(vd, ve, c=vy, cmap="plasma", s=65, zorder=5, edgecolors=WHITE, linewidth=0.5)</t>
        </is>
      </c>
    </row>
    <row r="575" ht="13" customHeight="1" s="71">
      <c r="C575" s="148" t="inlineStr">
        <is>
          <t xml:space="preserve">        x_line = np.linspace(min(vd)-2, max(vd)+2, 100)</t>
        </is>
      </c>
    </row>
    <row r="576" ht="13" customHeight="1" s="71">
      <c r="C576" s="148" t="inlineStr">
        <is>
          <t xml:space="preserve">        ax.plot(x_line, intercept + slope*x_line, color=ACCENT, linewidth=1.8, linestyle="--", alpha=0.7)</t>
        </is>
      </c>
    </row>
    <row r="577" ht="13" customHeight="1" s="71">
      <c r="C577" s="148" t="inlineStr">
        <is>
          <t xml:space="preserve">        for xi, yi, yr in zip(vd, ve, vy):</t>
        </is>
      </c>
    </row>
    <row r="578" ht="13" customHeight="1" s="71">
      <c r="C578" s="148" t="inlineStr">
        <is>
          <t xml:space="preserve">            ax.annotate(str(yr), (xi, yi), textcoords="offset points", xytext=(4, 3), fontsize=6.5, color=MID)</t>
        </is>
      </c>
    </row>
    <row r="579" ht="13" customHeight="1" s="71">
      <c r="C579" s="148" t="inlineStr">
        <is>
          <t xml:space="preserve">        cbar = fig.colorbar(sc, ax=ax, pad=0.02)</t>
        </is>
      </c>
    </row>
    <row r="580" ht="13" customHeight="1" s="71">
      <c r="C580" s="148" t="inlineStr">
        <is>
          <t xml:space="preserve">        cbar.set_label("Year", color=MID, fontsize=8)</t>
        </is>
      </c>
    </row>
    <row r="581" ht="13" customHeight="1" s="71">
      <c r="C581" s="148" t="inlineStr">
        <is>
          <t xml:space="preserve">        cbar.ax.yaxis.set_tick_params(color=MID)</t>
        </is>
      </c>
    </row>
    <row r="582" ht="13" customHeight="1" s="71">
      <c r="C582" s="148" t="inlineStr">
        <is>
          <t xml:space="preserve">        plt.setp(plt.getp(cbar.ax.axes, "yticklabels"), color=MID)</t>
        </is>
      </c>
    </row>
    <row r="583" ht="13" customHeight="1" s="71">
      <c r="C583" s="148" t="inlineStr">
        <is>
          <t xml:space="preserve">        ax.set_xlabel("DXY Annual Average", fontsize=8)</t>
        </is>
      </c>
    </row>
    <row r="584" ht="13" customHeight="1" s="71">
      <c r="C584" s="148" t="inlineStr">
        <is>
          <t xml:space="preserve">        ax.set_ylabel("MSCI EM Annual Return (%)", fontsize=8)</t>
        </is>
      </c>
    </row>
    <row r="585" ht="13" customHeight="1" s="71">
      <c r="C585" s="148" t="inlineStr">
        <is>
          <t xml:space="preserve">        ax.set_title(f"DXY Level vs MSCI EM Annual Return (2007-2024)\nInverse relationship most visible at DXY cycle peaks", color=WHITE, fontsize=9.5, pad=10)</t>
        </is>
      </c>
    </row>
    <row r="586" ht="13" customHeight="1" s="71">
      <c r="C586" s="148" t="inlineStr">
        <is>
          <t xml:space="preserve">        ax.text(0.97, 0.93, f"OLS: r = {r:.3f}\np = {p:.3f} (weak linear)", transform=ax.transAxes,</t>
        </is>
      </c>
    </row>
    <row r="587" ht="13" customHeight="1" s="71">
      <c r="C587" s="148" t="inlineStr">
        <is>
          <t xml:space="preserve">                ha="right", va="top", color=MID, fontsize=7.5, bbox=dict(boxstyle="round,pad=0.3", facecolor=BLUE, edgecolor=BLUE))</t>
        </is>
      </c>
    </row>
    <row r="588" ht="13" customHeight="1" s="71">
      <c r="C588" s="148" t="inlineStr">
        <is>
          <t xml:space="preserve">        fig.text(0.99, 0.01, "Source: Bloomberg, MSCI. Workbook: DXY_MSCI_EM + OLS_DXY_EM", color=MID, fontsize=6, ha="right")</t>
        </is>
      </c>
    </row>
    <row r="589" ht="13" customHeight="1" s="71">
      <c r="C589" s="148" t="inlineStr">
        <is>
          <t xml:space="preserve">        save(fig, "m04_dxy_em_scatter.png")</t>
        </is>
      </c>
    </row>
    <row r="590" ht="13" customHeight="1" s="71">
      <c r="C590" s="148" t="inlineStr"/>
    </row>
    <row r="591" ht="13" customHeight="1" s="71">
      <c r="C591" s="148" t="inlineStr">
        <is>
          <t xml:space="preserve">    # 2. EM vs DM returns comparison bar</t>
        </is>
      </c>
    </row>
    <row r="592" ht="13" customHeight="1" s="71">
      <c r="C592" s="148" t="inlineStr">
        <is>
          <t xml:space="preserve">    valid2 = [(y, e, d) for y, e, d in zip(em_years, em_ret, dm_ret) if e is not None and d is not None]</t>
        </is>
      </c>
    </row>
    <row r="593" ht="13" customHeight="1" s="71">
      <c r="C593" s="148" t="inlineStr">
        <is>
          <t xml:space="preserve">    if valid2:</t>
        </is>
      </c>
    </row>
    <row r="594" ht="13" customHeight="1" s="71">
      <c r="C594" s="148" t="inlineStr">
        <is>
          <t xml:space="preserve">        vy2, ve2, vd2 = zip(*valid2)</t>
        </is>
      </c>
    </row>
    <row r="595" ht="13" customHeight="1" s="71">
      <c r="C595" s="148" t="inlineStr">
        <is>
          <t xml:space="preserve">        fig, ax = base_fig(12, 5)</t>
        </is>
      </c>
    </row>
    <row r="596" ht="13" customHeight="1" s="71">
      <c r="C596" s="148" t="inlineStr">
        <is>
          <t xml:space="preserve">        x = np.arange(len(vy2))</t>
        </is>
      </c>
    </row>
    <row r="597" ht="13" customHeight="1" s="71">
      <c r="C597" s="148" t="inlineStr">
        <is>
          <t xml:space="preserve">        w = 0.38</t>
        </is>
      </c>
    </row>
    <row r="598" ht="13" customHeight="1" s="71">
      <c r="C598" s="148" t="inlineStr">
        <is>
          <t xml:space="preserve">        ax.bar(x - w/2, ve2, w, color=ACCENT, alpha=0.85, label="MSCI EM Return (%)")</t>
        </is>
      </c>
    </row>
    <row r="599" ht="13" customHeight="1" s="71">
      <c r="C599" s="148" t="inlineStr">
        <is>
          <t xml:space="preserve">        ax.bar(x + w/2, vd2, w, color=BLUE,  alpha=0.7,  label="MSCI World Return (%)")</t>
        </is>
      </c>
    </row>
    <row r="600" ht="13" customHeight="1" s="71">
      <c r="C600" s="148" t="inlineStr">
        <is>
          <t xml:space="preserve">        ax.axhline(0, color=MID, linewidth=0.8)</t>
        </is>
      </c>
    </row>
    <row r="601" ht="13" customHeight="1" s="71">
      <c r="C601" s="148" t="inlineStr">
        <is>
          <t xml:space="preserve">        ax.set_xticks(x[::2]); ax.set_xticklabels(vy2[::2], color=MID, fontsize=8)</t>
        </is>
      </c>
    </row>
    <row r="602" ht="13" customHeight="1" s="71">
      <c r="C602" s="148" t="inlineStr">
        <is>
          <t xml:space="preserve">        ax.set_ylabel("Annual Return (%)", fontsize=8)</t>
        </is>
      </c>
    </row>
    <row r="603" ht="13" customHeight="1" s="71">
      <c r="C603" s="148" t="inlineStr">
        <is>
          <t xml:space="preserve">        ax.set_title("MSCI EM vs MSCI World Annual Returns (2007-2024)", color=WHITE, fontsize=10, pad=10)</t>
        </is>
      </c>
    </row>
    <row r="604" ht="13" customHeight="1" s="71">
      <c r="C604" s="148" t="inlineStr">
        <is>
          <t xml:space="preserve">        ax.legend(fontsize=8, facecolor=BLUE, edgecolor=NAVY, labelcolor=WHITE)</t>
        </is>
      </c>
    </row>
    <row r="605" ht="13" customHeight="1" s="71">
      <c r="C605" s="148" t="inlineStr">
        <is>
          <t xml:space="preserve">        fig.text(0.99, 0.01, "Source: Bloomberg, MSCI. Workbook: DXY_MSCI_EM", color=MID, fontsize=6, ha="right")</t>
        </is>
      </c>
    </row>
    <row r="606" ht="13" customHeight="1" s="71">
      <c r="C606" s="148" t="inlineStr">
        <is>
          <t xml:space="preserve">        save(fig, "m04_em_dm_returns.png")</t>
        </is>
      </c>
    </row>
    <row r="607" ht="13" customHeight="1" s="71">
      <c r="C607" s="148" t="inlineStr"/>
    </row>
    <row r="608" ht="13" customHeight="1" s="71">
      <c r="C608" s="148" t="inlineStr">
        <is>
          <t xml:space="preserve">    # 3. P/E discount history</t>
        </is>
      </c>
    </row>
    <row r="609" ht="13" customHeight="1" s="71">
      <c r="C609" s="148" t="inlineStr">
        <is>
          <t xml:space="preserve">    ws_disc = wb["EM_DM_Discount"]</t>
        </is>
      </c>
    </row>
    <row r="610" ht="13" customHeight="1" s="71">
      <c r="C610" s="148" t="inlineStr">
        <is>
          <t xml:space="preserve">    disc_years, em_pe, wld_pe = [], [], []</t>
        </is>
      </c>
    </row>
    <row r="611" ht="13" customHeight="1" s="71">
      <c r="C611" s="148" t="inlineStr">
        <is>
          <t xml:space="preserve">    for row in ws_disc.iter_rows(min_row=3, max_row=30, values_only=True):</t>
        </is>
      </c>
    </row>
    <row r="612" ht="13" customHeight="1" s="71">
      <c r="C612" s="148" t="inlineStr">
        <is>
          <t xml:space="preserve">        if row[0] and isinstance(row[0],(int,float)) and row[1] and row[2]:</t>
        </is>
      </c>
    </row>
    <row r="613" ht="13" customHeight="1" s="71">
      <c r="C613" s="148" t="inlineStr">
        <is>
          <t xml:space="preserve">            disc_years.append(int(row[0]))</t>
        </is>
      </c>
    </row>
    <row r="614" ht="13" customHeight="1" s="71">
      <c r="C614" s="148" t="inlineStr">
        <is>
          <t xml:space="preserve">            em_pe.append(float(row[1]))</t>
        </is>
      </c>
    </row>
    <row r="615" ht="13" customHeight="1" s="71">
      <c r="C615" s="148" t="inlineStr">
        <is>
          <t xml:space="preserve">            wld_pe.append(float(row[2]))</t>
        </is>
      </c>
    </row>
    <row r="616" ht="13" customHeight="1" s="71">
      <c r="C616" s="148" t="inlineStr">
        <is>
          <t xml:space="preserve">    if disc_years:</t>
        </is>
      </c>
    </row>
    <row r="617" ht="13" customHeight="1" s="71">
      <c r="C617" s="148" t="inlineStr">
        <is>
          <t xml:space="preserve">        disc_pct = [(e/w - 1)*100 for e, w in zip(em_pe, wld_pe)]</t>
        </is>
      </c>
    </row>
    <row r="618" ht="13" customHeight="1" s="71">
      <c r="C618" s="148" t="inlineStr">
        <is>
          <t xml:space="preserve">        avg_d = np.mean(disc_pct)</t>
        </is>
      </c>
    </row>
    <row r="619" ht="13" customHeight="1" s="71">
      <c r="C619" s="148" t="inlineStr">
        <is>
          <t xml:space="preserve">        fig, ax = base_fig(11, 5)</t>
        </is>
      </c>
    </row>
    <row r="620" ht="13" customHeight="1" s="71">
      <c r="C620" s="148" t="inlineStr">
        <is>
          <t xml:space="preserve">        ax.fill_between(disc_years, disc_pct, [avg_d]*len(disc_years), alpha=0.2,</t>
        </is>
      </c>
    </row>
    <row r="621" ht="13" customHeight="1" s="71">
      <c r="C621" s="148" t="inlineStr">
        <is>
          <t xml:space="preserve">                        color=RED, where=[d &lt; avg_d for d in disc_pct],</t>
        </is>
      </c>
    </row>
    <row r="622" ht="13" customHeight="1" s="71">
      <c r="C622" s="148" t="inlineStr">
        <is>
          <t xml:space="preserve">                        label="Below 20yr avg (cheap)")</t>
        </is>
      </c>
    </row>
    <row r="623" ht="13" customHeight="1" s="71">
      <c r="C623" s="148" t="inlineStr">
        <is>
          <t xml:space="preserve">        ax.fill_between(disc_years, disc_pct, [avg_d]*len(disc_years), alpha=0.15,</t>
        </is>
      </c>
    </row>
    <row r="624" ht="13" customHeight="1" s="71">
      <c r="C624" s="148" t="inlineStr">
        <is>
          <t xml:space="preserve">                        color=GREEN, where=[d &gt;= avg_d for d in disc_pct])</t>
        </is>
      </c>
    </row>
    <row r="625" ht="13" customHeight="1" s="71">
      <c r="C625" s="148" t="inlineStr">
        <is>
          <t xml:space="preserve">        ax.plot(disc_years, disc_pct, color=GOLD, linewidth=2, label="EM/DM P/E Discount (%)")</t>
        </is>
      </c>
    </row>
    <row r="626" ht="13" customHeight="1" s="71">
      <c r="C626" s="148" t="inlineStr">
        <is>
          <t xml:space="preserve">        ax.axhline(avg_d, color=GREEN, linewidth=1.5, linestyle="--", alpha=0.7, label=f"20yr avg: {avg_d:.1f}%")</t>
        </is>
      </c>
    </row>
    <row r="627" ht="13" customHeight="1" s="71">
      <c r="C627" s="148" t="inlineStr">
        <is>
          <t xml:space="preserve">        ax.axhline(-37, color=RED, linewidth=1, linestyle=":", alpha=0.7)</t>
        </is>
      </c>
    </row>
    <row r="628" ht="13" customHeight="1" s="71">
      <c r="C628" s="148" t="inlineStr">
        <is>
          <t xml:space="preserve">        ax.text(disc_years[-3], -35, f"Current: -37%", color=RED, fontsize=7.5, ha="right")</t>
        </is>
      </c>
    </row>
    <row r="629" ht="13" customHeight="1" s="71">
      <c r="C629" s="148" t="inlineStr">
        <is>
          <t xml:space="preserve">        ax.set_ylabel("EM vs DM P/E Discount (%)", fontsize=8)</t>
        </is>
      </c>
    </row>
    <row r="630" ht="13" customHeight="1" s="71">
      <c r="C630" s="148" t="inlineStr">
        <is>
          <t xml:space="preserve">        ax.set_title("MSCI EM vs MSCI World Forward P/E Discount — History\nCurrent -37% discount near 2008-09 extremes", color=WHITE, fontsize=9.5, pad=10)</t>
        </is>
      </c>
    </row>
    <row r="631" ht="13" customHeight="1" s="71">
      <c r="C631" s="148" t="inlineStr">
        <is>
          <t xml:space="preserve">        ax.legend(fontsize=8, facecolor=BLUE, edgecolor=NAVY, labelcolor=WHITE)</t>
        </is>
      </c>
    </row>
    <row r="632" ht="13" customHeight="1" s="71">
      <c r="C632" s="148" t="inlineStr">
        <is>
          <t xml:space="preserve">        ax.set_xlim(disc_years[0]-0.5, disc_years[-1]+1)</t>
        </is>
      </c>
    </row>
    <row r="633" ht="13" customHeight="1" s="71">
      <c r="C633" s="148" t="inlineStr">
        <is>
          <t xml:space="preserve">        fig.text(0.99, 0.01, "Source: Bloomberg, FactSet. Workbook: EM_DM_Discount", color=MID, fontsize=6, ha="right")</t>
        </is>
      </c>
    </row>
    <row r="634" ht="13" customHeight="1" s="71">
      <c r="C634" s="148" t="inlineStr">
        <is>
          <t xml:space="preserve">        save(fig, "m04_pe_discount_history.png")</t>
        </is>
      </c>
    </row>
    <row r="635" ht="13" customHeight="1" s="71">
      <c r="C635" s="148" t="inlineStr"/>
    </row>
    <row r="636" ht="13" customHeight="1" s="71">
      <c r="C636" s="148" t="inlineStr">
        <is>
          <t xml:space="preserve">    # 4. Country valuations</t>
        </is>
      </c>
    </row>
    <row r="637" ht="13" customHeight="1" s="71">
      <c r="C637" s="148" t="inlineStr">
        <is>
          <t xml:space="preserve">    ws_cv = wb["Country_Valuations"]</t>
        </is>
      </c>
    </row>
    <row r="638" ht="13" customHeight="1" s="71">
      <c r="C638" s="148" t="inlineStr">
        <is>
          <t xml:space="preserve">    cv_countries, cv_ntm, cv_5yr, cv_wt = [], [], [], []</t>
        </is>
      </c>
    </row>
    <row r="639" ht="13" customHeight="1" s="71">
      <c r="C639" s="148" t="inlineStr">
        <is>
          <t xml:space="preserve">    for row in ws_cv.iter_rows(min_row=3, max_row=13, values_only=True):</t>
        </is>
      </c>
    </row>
    <row r="640" ht="13" customHeight="1" s="71">
      <c r="C640" s="148" t="inlineStr">
        <is>
          <t xml:space="preserve">        if row[0] and row[0] not in ("Country", "MSCI EM (index)"):</t>
        </is>
      </c>
    </row>
    <row r="641" ht="13" customHeight="1" s="71">
      <c r="C641" s="148" t="inlineStr">
        <is>
          <t xml:space="preserve">            cv_countries.append(str(row[0]))</t>
        </is>
      </c>
    </row>
    <row r="642" ht="13" customHeight="1" s="71">
      <c r="C642" s="148" t="inlineStr">
        <is>
          <t xml:space="preserve">            cv_wt.append(float(row[1]) if row[1] else 0)</t>
        </is>
      </c>
    </row>
    <row r="643" ht="13" customHeight="1" s="71">
      <c r="C643" s="148" t="inlineStr">
        <is>
          <t xml:space="preserve">            cv_ntm.append(float(row[2]) if row[2] and isinstance(row[2],(int,float)) else 0)</t>
        </is>
      </c>
    </row>
    <row r="644" ht="13" customHeight="1" s="71">
      <c r="C644" s="148" t="inlineStr">
        <is>
          <t xml:space="preserve">            cv_5yr.append(float(row[3]) if row[3] and isinstance(row[3],(int,float)) else 0)</t>
        </is>
      </c>
    </row>
    <row r="645" ht="13" customHeight="1" s="71">
      <c r="C645" s="148" t="inlineStr">
        <is>
          <t xml:space="preserve">    if cv_countries:</t>
        </is>
      </c>
    </row>
    <row r="646" ht="13" customHeight="1" s="71">
      <c r="C646" s="148" t="inlineStr">
        <is>
          <t xml:space="preserve">        fig, ax = base_fig(10, 5.5)</t>
        </is>
      </c>
    </row>
    <row r="647" ht="13" customHeight="1" s="71">
      <c r="C647" s="148" t="inlineStr">
        <is>
          <t xml:space="preserve">        x = np.arange(len(cv_countries))</t>
        </is>
      </c>
    </row>
    <row r="648" ht="13" customHeight="1" s="71">
      <c r="C648" s="148" t="inlineStr">
        <is>
          <t xml:space="preserve">        w = 0.38</t>
        </is>
      </c>
    </row>
    <row r="649" ht="13" customHeight="1" s="71">
      <c r="C649" s="148" t="inlineStr">
        <is>
          <t xml:space="preserve">        disc_c = [(n-a)/a*100 for n,a in zip(cv_ntm, cv_5yr)]</t>
        </is>
      </c>
    </row>
    <row r="650" ht="13" customHeight="1" s="71">
      <c r="C650" s="148" t="inlineStr">
        <is>
          <t xml:space="preserve">        colors_c = [GREEN if d &lt; -10 else GOLD if d &lt; 5 else RED for d in disc_c]</t>
        </is>
      </c>
    </row>
    <row r="651" ht="13" customHeight="1" s="71">
      <c r="C651" s="148" t="inlineStr">
        <is>
          <t xml:space="preserve">        ax.bar(x - w/2, cv_ntm, w, color=colors_c, alpha=0.9, label="Current NTM P/E")</t>
        </is>
      </c>
    </row>
    <row r="652" ht="13" customHeight="1" s="71">
      <c r="C652" s="148" t="inlineStr">
        <is>
          <t xml:space="preserve">        ax.bar(x + w/2, cv_5yr, w, color=GOLD, alpha=0.5, label="5yr Avg P/E", hatch="//")</t>
        </is>
      </c>
    </row>
    <row r="653" ht="13" customHeight="1" s="71">
      <c r="C653" s="148" t="inlineStr">
        <is>
          <t xml:space="preserve">        ax.set_xticks(x); ax.set_xticklabels(cv_countries, color=MID, fontsize=7.5, rotation=30, ha="right")</t>
        </is>
      </c>
    </row>
    <row r="654" ht="13" customHeight="1" s="71">
      <c r="C654" s="148" t="inlineStr">
        <is>
          <t xml:space="preserve">        ax.set_ylabel("Forward P/E (x)", fontsize=8)</t>
        </is>
      </c>
    </row>
    <row r="655" ht="13" customHeight="1" s="71">
      <c r="C655" s="148" t="inlineStr">
        <is>
          <t xml:space="preserve">        ax.set_title("MSCI EM Country Valuations vs 5yr Average\nChina, Korea, Brazil, South Africa at multi-year discounts", color=WHITE, fontsize=9.5, pad=10)</t>
        </is>
      </c>
    </row>
    <row r="656" ht="13" customHeight="1" s="71">
      <c r="C656" s="148" t="inlineStr">
        <is>
          <t xml:space="preserve">        ax.legend(fontsize=8, facecolor=BLUE, edgecolor=NAVY, labelcolor=WHITE)</t>
        </is>
      </c>
    </row>
    <row r="657" ht="13" customHeight="1" s="71">
      <c r="C657" s="148" t="inlineStr">
        <is>
          <t xml:space="preserve">        fig.text(0.99, 0.01, "Source: Bloomberg, FactSet, MSCI Apr 2026. Workbook: Country_Valuations", color=MID, fontsize=6, ha="right")</t>
        </is>
      </c>
    </row>
    <row r="658" ht="13" customHeight="1" s="71">
      <c r="C658" s="148" t="inlineStr">
        <is>
          <t xml:space="preserve">        save(fig, "m04_country_valuations.png")</t>
        </is>
      </c>
    </row>
    <row r="659" ht="13" customHeight="1" s="71">
      <c r="C659" s="148" t="inlineStr"/>
    </row>
    <row r="660" ht="13" customHeight="1" s="71">
      <c r="C660" s="148" t="inlineStr">
        <is>
          <t xml:space="preserve">    # 5. Capital flows — EM vs US</t>
        </is>
      </c>
    </row>
    <row r="661" ht="13" customHeight="1" s="71">
      <c r="C661" s="148" t="inlineStr">
        <is>
          <t xml:space="preserve">    ws_cf = wb["Capital_Flows"]</t>
        </is>
      </c>
    </row>
    <row r="662" ht="13" customHeight="1" s="71">
      <c r="C662" s="148" t="inlineStr">
        <is>
          <t xml:space="preserve">    cf_years, us_f, em_f = [], [], []</t>
        </is>
      </c>
    </row>
    <row r="663" ht="13" customHeight="1" s="71">
      <c r="C663" s="148" t="inlineStr">
        <is>
          <t xml:space="preserve">    for row in ws_cf.iter_rows(min_row=3, max_row=11, values_only=True):</t>
        </is>
      </c>
    </row>
    <row r="664" ht="13" customHeight="1" s="71">
      <c r="C664" s="148" t="inlineStr">
        <is>
          <t xml:space="preserve">        if row[0] and isinstance(row[0],(int,float)):</t>
        </is>
      </c>
    </row>
    <row r="665" ht="13" customHeight="1" s="71">
      <c r="C665" s="148" t="inlineStr">
        <is>
          <t xml:space="preserve">            cf_years.append(int(row[0]))</t>
        </is>
      </c>
    </row>
    <row r="666" ht="13" customHeight="1" s="71">
      <c r="C666" s="148" t="inlineStr">
        <is>
          <t xml:space="preserve">            us_f.append(float(row[1]) if row[1] else 0)</t>
        </is>
      </c>
    </row>
    <row r="667" ht="13" customHeight="1" s="71">
      <c r="C667" s="148" t="inlineStr">
        <is>
          <t xml:space="preserve">            em_f.append(float(row[2]) if row[2] else 0)</t>
        </is>
      </c>
    </row>
    <row r="668" ht="13" customHeight="1" s="71">
      <c r="C668" s="148" t="inlineStr">
        <is>
          <t xml:space="preserve">    if cf_years:</t>
        </is>
      </c>
    </row>
    <row r="669" ht="13" customHeight="1" s="71">
      <c r="C669" s="148" t="inlineStr">
        <is>
          <t xml:space="preserve">        fig, ax = base_fig(10, 5)</t>
        </is>
      </c>
    </row>
    <row r="670" ht="13" customHeight="1" s="71">
      <c r="C670" s="148" t="inlineStr">
        <is>
          <t xml:space="preserve">        x = np.arange(len(cf_years))</t>
        </is>
      </c>
    </row>
    <row r="671" ht="13" customHeight="1" s="71">
      <c r="C671" s="148" t="inlineStr">
        <is>
          <t xml:space="preserve">        w = 0.38</t>
        </is>
      </c>
    </row>
    <row r="672" ht="13" customHeight="1" s="71">
      <c r="C672" s="148" t="inlineStr">
        <is>
          <t xml:space="preserve">        ax.bar(x - w/2, us_f, w, color=ACCENT, alpha=0.85, label="US Equity Net Flows ($bn)")</t>
        </is>
      </c>
    </row>
    <row r="673" ht="13" customHeight="1" s="71">
      <c r="C673" s="148" t="inlineStr">
        <is>
          <t xml:space="preserve">        ax.bar(x + w/2, em_f, w, color=BLUE,  alpha=0.85, label="EM Equity Net Flows ($bn)")</t>
        </is>
      </c>
    </row>
    <row r="674" ht="13" customHeight="1" s="71">
      <c r="C674" s="148" t="inlineStr">
        <is>
          <t xml:space="preserve">        ax.axhline(0, color=MID, linewidth=0.8)</t>
        </is>
      </c>
    </row>
    <row r="675" ht="13" customHeight="1" s="71">
      <c r="C675" s="148" t="inlineStr">
        <is>
          <t xml:space="preserve">        ax.set_xticks(x); ax.set_xticklabels(cf_years, color=MID, fontsize=8)</t>
        </is>
      </c>
    </row>
    <row r="676" ht="13" customHeight="1" s="71">
      <c r="C676" s="148" t="inlineStr">
        <is>
          <t xml:space="preserve">        ax.set_ylabel("Net Equity Flows ($bn)", fontsize=8)</t>
        </is>
      </c>
    </row>
    <row r="677" ht="13" customHeight="1" s="71">
      <c r="C677" s="148" t="inlineStr">
        <is>
          <t xml:space="preserve">        ax.set_title("Capital Flows: US vs EM Equities (2019-2025)\nRecord EM underweight — positioning reversal could amplify macro tailwinds", color=WHITE, fontsize=9.5, pad=10)</t>
        </is>
      </c>
    </row>
    <row r="678" ht="13" customHeight="1" s="71">
      <c r="C678" s="148" t="inlineStr">
        <is>
          <t xml:space="preserve">        ax.legend(fontsize=8, facecolor=BLUE, edgecolor=NAVY, labelcolor=WHITE)</t>
        </is>
      </c>
    </row>
    <row r="679" ht="13" customHeight="1" s="71">
      <c r="C679" s="148" t="inlineStr">
        <is>
          <t xml:space="preserve">        fig.text(0.99, 0.01, "Source: EPFR Global, BofA Global Research. Workbook: Capital_Flows", color=MID, fontsize=6, ha="right")</t>
        </is>
      </c>
    </row>
    <row r="680" ht="13" customHeight="1" s="71">
      <c r="C680" s="148" t="inlineStr">
        <is>
          <t xml:space="preserve">        save(fig, "m04_capital_flows.png")</t>
        </is>
      </c>
    </row>
    <row r="681" ht="13" customHeight="1" s="71">
      <c r="C681" s="148" t="inlineStr"/>
    </row>
    <row r="682" ht="13" customHeight="1" s="71">
      <c r="C682" s="148" t="inlineStr">
        <is>
          <t xml:space="preserve">    # 6. ECB/Fed rate differential</t>
        </is>
      </c>
    </row>
    <row r="683" ht="13" customHeight="1" s="71">
      <c r="C683" s="148" t="inlineStr">
        <is>
          <t xml:space="preserve">    ws_ecb = wb["ECB_Fed_Differential"]</t>
        </is>
      </c>
    </row>
    <row r="684" ht="13" customHeight="1" s="71">
      <c r="C684" s="148" t="inlineStr">
        <is>
          <t xml:space="preserve">    ecb_years, fed_r, ecb_r, dxy_e, em_ret_e = [], [], [], [], []</t>
        </is>
      </c>
    </row>
    <row r="685" ht="13" customHeight="1" s="71">
      <c r="C685" s="148" t="inlineStr">
        <is>
          <t xml:space="preserve">    for row in ws_ecb.iter_rows(min_row=3, max_row=11, values_only=True):</t>
        </is>
      </c>
    </row>
    <row r="686" ht="13" customHeight="1" s="71">
      <c r="C686" s="148" t="inlineStr">
        <is>
          <t xml:space="preserve">        if row[0] and isinstance(row[0],(int,float)):</t>
        </is>
      </c>
    </row>
    <row r="687" ht="13" customHeight="1" s="71">
      <c r="C687" s="148" t="inlineStr">
        <is>
          <t xml:space="preserve">            ecb_years.append(int(row[0]))</t>
        </is>
      </c>
    </row>
    <row r="688" ht="13" customHeight="1" s="71">
      <c r="C688" s="148" t="inlineStr">
        <is>
          <t xml:space="preserve">            fed_r.append(float(row[1]) if row[1] else None)</t>
        </is>
      </c>
    </row>
    <row r="689" ht="13" customHeight="1" s="71">
      <c r="C689" s="148" t="inlineStr">
        <is>
          <t xml:space="preserve">            ecb_r.append(float(row[2]) if row[2] else None)</t>
        </is>
      </c>
    </row>
    <row r="690" ht="13" customHeight="1" s="71">
      <c r="C690" s="148" t="inlineStr">
        <is>
          <t xml:space="preserve">            dxy_e.append(float(row[4]) if row[4] and isinstance(row[4],(int,float)) else None)</t>
        </is>
      </c>
    </row>
    <row r="691" ht="13" customHeight="1" s="71">
      <c r="C691" s="148" t="inlineStr">
        <is>
          <t xml:space="preserve">    fig, ax1 = plt.subplots(figsize=(10, 5), facecolor=NAVY)</t>
        </is>
      </c>
    </row>
    <row r="692" ht="13" customHeight="1" s="71">
      <c r="C692" s="148" t="inlineStr">
        <is>
          <t xml:space="preserve">    ax1.set_facecolor(NAVY)</t>
        </is>
      </c>
    </row>
    <row r="693" ht="13" customHeight="1" s="71">
      <c r="C693" s="148" t="inlineStr">
        <is>
          <t xml:space="preserve">    valid_ecb = [(y, f, e) for y, f, e in zip(ecb_years, fed_r, ecb_r) if f and e]</t>
        </is>
      </c>
    </row>
    <row r="694" ht="13" customHeight="1" s="71">
      <c r="C694" s="148" t="inlineStr">
        <is>
          <t xml:space="preserve">    if valid_ecb:</t>
        </is>
      </c>
    </row>
    <row r="695" ht="13" customHeight="1" s="71">
      <c r="C695" s="148" t="inlineStr">
        <is>
          <t xml:space="preserve">        vy_e, vf_e, ve_e = zip(*valid_ecb)</t>
        </is>
      </c>
    </row>
    <row r="696" ht="13" customHeight="1" s="71">
      <c r="C696" s="148" t="inlineStr">
        <is>
          <t xml:space="preserve">        x = np.arange(len(vy_e))</t>
        </is>
      </c>
    </row>
    <row r="697" ht="13" customHeight="1" s="71">
      <c r="C697" s="148" t="inlineStr">
        <is>
          <t xml:space="preserve">        w = 0.35</t>
        </is>
      </c>
    </row>
    <row r="698" ht="13" customHeight="1" s="71">
      <c r="C698" s="148" t="inlineStr">
        <is>
          <t xml:space="preserve">        ax1.bar(x - w/2, vf_e, w, color=ACCENT, alpha=0.85, label="Fed Funds Rate (%)")</t>
        </is>
      </c>
    </row>
    <row r="699" ht="13" customHeight="1" s="71">
      <c r="C699" s="148" t="inlineStr">
        <is>
          <t xml:space="preserve">        ax1.bar(x + w/2, ve_e, w, color=BLUE,  alpha=0.85, label="ECB Deposit Rate (%)")</t>
        </is>
      </c>
    </row>
    <row r="700" ht="13" customHeight="1" s="71">
      <c r="C700" s="148" t="inlineStr">
        <is>
          <t xml:space="preserve">        diff = [f - e for f, e in zip(vf_e, ve_e)]</t>
        </is>
      </c>
    </row>
    <row r="701" ht="13" customHeight="1" s="71">
      <c r="C701" s="148" t="inlineStr">
        <is>
          <t xml:space="preserve">        ax1.plot(x, diff, color=GOLD, linewidth=2, marker="o", markersize=5, label="Fed-ECB Differential (pp)")</t>
        </is>
      </c>
    </row>
    <row r="702" ht="13" customHeight="1" s="71">
      <c r="C702" s="148" t="inlineStr">
        <is>
          <t xml:space="preserve">        ax1.set_xticks(x); ax1.set_xticklabels(vy_e, color=MID, fontsize=8)</t>
        </is>
      </c>
    </row>
    <row r="703" ht="13" customHeight="1" s="71">
      <c r="C703" s="148" t="inlineStr">
        <is>
          <t xml:space="preserve">        ax1.set_ylabel("Policy Rate / Differential (%)", color=MID, fontsize=8)</t>
        </is>
      </c>
    </row>
    <row r="704" ht="13" customHeight="1" s="71">
      <c r="C704" s="148" t="inlineStr">
        <is>
          <t xml:space="preserve">    ax1.tick_params(colors=MID)</t>
        </is>
      </c>
    </row>
    <row r="705" ht="13" customHeight="1" s="71">
      <c r="C705" s="148" t="inlineStr">
        <is>
          <t xml:space="preserve">    for s in ax1.spines.values(): s.set_edgecolor(BLUE)</t>
        </is>
      </c>
    </row>
    <row r="706" ht="13" customHeight="1" s="71">
      <c r="C706" s="148" t="inlineStr">
        <is>
          <t xml:space="preserve">    ax1.spines["top"].set_visible(False)</t>
        </is>
      </c>
    </row>
    <row r="707" ht="13" customHeight="1" s="71">
      <c r="C707" s="148" t="inlineStr">
        <is>
          <t xml:space="preserve">    ax1.set_facecolor(NAVY)</t>
        </is>
      </c>
    </row>
    <row r="708" ht="13" customHeight="1" s="71">
      <c r="C708" s="148" t="inlineStr">
        <is>
          <t xml:space="preserve">    ax1.grid(axis="y", color=BLUE, alpha=0.2, linewidth=0.5)</t>
        </is>
      </c>
    </row>
    <row r="709" ht="13" customHeight="1" s="71">
      <c r="C709" s="148" t="inlineStr">
        <is>
          <t xml:space="preserve">    ax1.legend(fontsize=8, facecolor=BLUE, edgecolor=NAVY, labelcolor=WHITE)</t>
        </is>
      </c>
    </row>
    <row r="710" ht="13" customHeight="1" s="71">
      <c r="C710" s="148" t="inlineStr">
        <is>
          <t xml:space="preserve">    ax1.set_title("ECB vs Fed Policy Rates (2019-2026E)\nECB ahead of Fed in cutting cycle — narrows rate differential supporting EM", color=WHITE, fontsize=9.5, pad=10)</t>
        </is>
      </c>
    </row>
    <row r="711" ht="13" customHeight="1" s="71">
      <c r="C711" s="148" t="inlineStr">
        <is>
          <t xml:space="preserve">    fig.text(0.99, 0.01, "Source: ECB, Federal Reserve. Workbook: ECB_Fed_Differential", color=MID, fontsize=6, ha="right")</t>
        </is>
      </c>
    </row>
    <row r="712" ht="13" customHeight="1" s="71">
      <c r="C712" s="148" t="inlineStr">
        <is>
          <t xml:space="preserve">    fig.set_facecolor(NAVY)</t>
        </is>
      </c>
    </row>
    <row r="713" ht="13" customHeight="1" s="71">
      <c r="C713" s="148" t="inlineStr">
        <is>
          <t xml:space="preserve">    save(fig, "m04_ecb_fed.png")</t>
        </is>
      </c>
    </row>
    <row r="714" ht="13" customHeight="1" s="71">
      <c r="C714" s="148" t="inlineStr"/>
    </row>
    <row r="715" ht="13" customHeight="1" s="71">
      <c r="C715" s="148" t="inlineStr"/>
    </row>
    <row r="716" ht="13" customHeight="1" s="71">
      <c r="C716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17" ht="13" customHeight="1" s="71">
      <c r="C717" s="148" t="inlineStr">
        <is>
          <t># SHORT MEMO 05 — Biotech</t>
        </is>
      </c>
    </row>
    <row r="718" ht="13" customHeight="1" s="71">
      <c r="C718" s="148" t="inlineStr">
        <is>
          <t># ══════════════════════════════════════════════════════════════════════════════</t>
        </is>
      </c>
    </row>
    <row r="719" ht="13" customHeight="1" s="71">
      <c r="C719" s="148" t="inlineStr">
        <is>
          <t>def memo05_charts():</t>
        </is>
      </c>
    </row>
    <row r="720" ht="13" customHeight="1" s="71">
      <c r="C720" s="148" t="inlineStr">
        <is>
          <t xml:space="preserve">    wb = openpyxl.load_workbook("mnt/outputs/memo-05-biotech-data.xlsx", data_only=True)</t>
        </is>
      </c>
    </row>
    <row r="721" ht="13" customHeight="1" s="71">
      <c r="C721" s="148" t="inlineStr"/>
    </row>
    <row r="722" ht="13" customHeight="1" s="71">
      <c r="C722" s="148" t="inlineStr">
        <is>
          <t xml:space="preserve">    # EV/Sales + UST data</t>
        </is>
      </c>
    </row>
    <row r="723" ht="13" customHeight="1" s="71">
      <c r="C723" s="148" t="inlineStr">
        <is>
          <t xml:space="preserve">    ws_reg = wb["3.EV-Sales Regression"]</t>
        </is>
      </c>
    </row>
    <row r="724" ht="13" customHeight="1" s="71">
      <c r="C724" s="148" t="inlineStr">
        <is>
          <t xml:space="preserve">    reg_years, ev_sales, ust = [], [], []</t>
        </is>
      </c>
    </row>
    <row r="725" ht="13" customHeight="1" s="71">
      <c r="C725" s="148" t="inlineStr">
        <is>
          <t xml:space="preserve">    for row in ws_reg.iter_rows(min_row=4, max_row=16, values_only=True):</t>
        </is>
      </c>
    </row>
    <row r="726" ht="13" customHeight="1" s="71">
      <c r="C726" s="148" t="inlineStr">
        <is>
          <t xml:space="preserve">        if row[0] and isinstance(row[0],(int,float)):</t>
        </is>
      </c>
    </row>
    <row r="727" ht="13" customHeight="1" s="71">
      <c r="C727" s="148" t="inlineStr">
        <is>
          <t xml:space="preserve">            reg_years.append(int(row[0]))</t>
        </is>
      </c>
    </row>
    <row r="728" ht="13" customHeight="1" s="71">
      <c r="C728" s="148" t="inlineStr">
        <is>
          <t xml:space="preserve">            ev_sales.append(float(row[1]) if row[1] else None)</t>
        </is>
      </c>
    </row>
    <row r="729" ht="13" customHeight="1" s="71">
      <c r="C729" s="148" t="inlineStr">
        <is>
          <t xml:space="preserve">            ust.append(float(row[3]) if row[3] else None)</t>
        </is>
      </c>
    </row>
    <row r="730" ht="13" customHeight="1" s="71">
      <c r="C730" s="148" t="inlineStr"/>
    </row>
    <row r="731" ht="13" customHeight="1" s="71">
      <c r="C731" s="148" t="inlineStr">
        <is>
          <t xml:space="preserve">    # 1. XBI EV/Sales vs UST dual axis</t>
        </is>
      </c>
    </row>
    <row r="732" ht="13" customHeight="1" s="71">
      <c r="C732" s="148" t="inlineStr">
        <is>
          <t xml:space="preserve">    valid = [(y, e, u) for y, e, u in zip(reg_years, ev_sales, ust) if e and u]</t>
        </is>
      </c>
    </row>
    <row r="733" ht="13" customHeight="1" s="71">
      <c r="C733" s="148" t="inlineStr">
        <is>
          <t xml:space="preserve">    if valid:</t>
        </is>
      </c>
    </row>
    <row r="734" ht="13" customHeight="1" s="71">
      <c r="C734" s="148" t="inlineStr">
        <is>
          <t xml:space="preserve">        vy, ve, vu = zip(*valid)</t>
        </is>
      </c>
    </row>
    <row r="735" ht="13" customHeight="1" s="71">
      <c r="C735" s="148" t="inlineStr">
        <is>
          <t xml:space="preserve">        fig, ax1 = plt.subplots(figsize=(11, 5), facecolor=NAVY)</t>
        </is>
      </c>
    </row>
    <row r="736" ht="13" customHeight="1" s="71">
      <c r="C736" s="148" t="inlineStr">
        <is>
          <t xml:space="preserve">        ax1.set_facecolor(NAVY)</t>
        </is>
      </c>
    </row>
    <row r="737" ht="13" customHeight="1" s="71">
      <c r="C737" s="148" t="inlineStr">
        <is>
          <t xml:space="preserve">        ax1.bar(vy, ve, color=BLUE, alpha=0.6, label="XBI NTM EV/Sales (x)", width=0.7)</t>
        </is>
      </c>
    </row>
    <row r="738" ht="13" customHeight="1" s="71">
      <c r="C738" s="148" t="inlineStr">
        <is>
          <t xml:space="preserve">        ax1.set_ylabel("XBI EV/Sales Multiple (x)", color=BLUE, fontsize=8)</t>
        </is>
      </c>
    </row>
    <row r="739" ht="13" customHeight="1" s="71">
      <c r="C739" s="148" t="inlineStr">
        <is>
          <t xml:space="preserve">        ax1.tick_params(colors=MID)</t>
        </is>
      </c>
    </row>
    <row r="740" ht="13" customHeight="1" s="71">
      <c r="C740" s="148" t="inlineStr">
        <is>
          <t xml:space="preserve">        for s in ax1.spines.values(): s.set_edgecolor(BLUE)</t>
        </is>
      </c>
    </row>
    <row r="741" ht="13" customHeight="1" s="71">
      <c r="C741" s="148" t="inlineStr">
        <is>
          <t xml:space="preserve">        ax1.spines["top"].set_visible(False)</t>
        </is>
      </c>
    </row>
    <row r="742" ht="13" customHeight="1" s="71">
      <c r="C742" s="148" t="inlineStr">
        <is>
          <t xml:space="preserve">        ax1.set_facecolor(NAVY)</t>
        </is>
      </c>
    </row>
    <row r="743" ht="13" customHeight="1" s="71">
      <c r="C743" s="148" t="inlineStr">
        <is>
          <t xml:space="preserve">        ax1.grid(axis="y", color=BLUE, alpha=0.2, linewidth=0.5)</t>
        </is>
      </c>
    </row>
    <row r="744" ht="13" customHeight="1" s="71">
      <c r="C744" s="148" t="inlineStr">
        <is>
          <t xml:space="preserve">        ax2 = ax1.twinx()</t>
        </is>
      </c>
    </row>
    <row r="745" ht="13" customHeight="1" s="71">
      <c r="C745" s="148" t="inlineStr">
        <is>
          <t xml:space="preserve">        ax2.set_facecolor(NAVY)</t>
        </is>
      </c>
    </row>
    <row r="746" ht="13" customHeight="1" s="71">
      <c r="C746" s="148" t="inlineStr">
        <is>
          <t xml:space="preserve">        ax2.plot(vy, vu, color=RED, linewidth=2.5, marker="o", markersize=5, label="UST 10yr Rate (%)")</t>
        </is>
      </c>
    </row>
    <row r="747" ht="13" customHeight="1" s="71">
      <c r="C747" s="148" t="inlineStr">
        <is>
          <t xml:space="preserve">        ax2.set_ylabel("UST 10yr Rate (%)", color=RED, fontsize=8)</t>
        </is>
      </c>
    </row>
    <row r="748" ht="13" customHeight="1" s="71">
      <c r="C748" s="148" t="inlineStr">
        <is>
          <t xml:space="preserve">        ax2.tick_params(colors=MID)</t>
        </is>
      </c>
    </row>
    <row r="749" ht="13" customHeight="1" s="71">
      <c r="C749" s="148" t="inlineStr">
        <is>
          <t xml:space="preserve">        ax2.spines["right"].set_edgecolor(BLUE)</t>
        </is>
      </c>
    </row>
    <row r="750" ht="13" customHeight="1" s="71">
      <c r="C750" s="148" t="inlineStr">
        <is>
          <t xml:space="preserve">        ax2.spines["top"].set_visible(False)</t>
        </is>
      </c>
    </row>
    <row r="751" ht="13" customHeight="1" s="71">
      <c r="C751" s="148" t="inlineStr">
        <is>
          <t xml:space="preserve">        ax2.invert_yaxis()</t>
        </is>
      </c>
    </row>
    <row r="752" ht="13" customHeight="1" s="71">
      <c r="C752" s="148" t="inlineStr">
        <is>
          <t xml:space="preserve">        lines = [mpatches.Patch(color=BLUE, label="XBI EV/Sales (x)"),</t>
        </is>
      </c>
    </row>
    <row r="753" ht="13" customHeight="1" s="71">
      <c r="C753" s="148" t="inlineStr">
        <is>
          <t xml:space="preserve">                 plt.Line2D([0],[0], color=RED, marker="o", label="UST 10yr Rate (%)")]</t>
        </is>
      </c>
    </row>
    <row r="754" ht="13" customHeight="1" s="71">
      <c r="C754" s="148" t="inlineStr">
        <is>
          <t xml:space="preserve">        ax1.legend(handles=lines, fontsize=8, facecolor=BLUE, edgecolor=NAVY, labelcolor=WHITE)</t>
        </is>
      </c>
    </row>
    <row r="755" ht="13" customHeight="1" s="71">
      <c r="C755" s="148" t="inlineStr">
        <is>
          <t xml:space="preserve">        ax1.set_title("XBI EV/Sales Multiple vs UST 10yr Rate (2014-2024)\nInverse relationship confirms biotech as high-duration asset", color=WHITE, fontsize=9.5, pad=10)</t>
        </is>
      </c>
    </row>
    <row r="756" ht="13" customHeight="1" s="71">
      <c r="C756" s="148" t="inlineStr">
        <is>
          <t xml:space="preserve">        fig.text(0.5, 0.0, "Note: UST axis inverted — falling rates = rising EV/Sales", color=MID, fontsize=7, ha="center")</t>
        </is>
      </c>
    </row>
    <row r="757" ht="13" customHeight="1" s="71">
      <c r="C757" s="148" t="inlineStr">
        <is>
          <t xml:space="preserve">        fig.text(0.99, 0.01, "Source: Bloomberg, FRED, FactSet. Workbook: 3.EV-Sales Regression", color=MID, fontsize=6, ha="right")</t>
        </is>
      </c>
    </row>
    <row r="758" ht="13" customHeight="1" s="71">
      <c r="C758" s="148" t="inlineStr">
        <is>
          <t xml:space="preserve">        fig.set_facecolor(NAVY)</t>
        </is>
      </c>
    </row>
    <row r="759" ht="13" customHeight="1" s="71">
      <c r="C759" s="148" t="inlineStr">
        <is>
          <t xml:space="preserve">        save(fig, "m05_xbi_history.png")</t>
        </is>
      </c>
    </row>
    <row r="760" ht="13" customHeight="1" s="71">
      <c r="C760" s="148" t="inlineStr"/>
    </row>
    <row r="761" ht="13" customHeight="1" s="71">
      <c r="C761" s="148" t="inlineStr">
        <is>
          <t xml:space="preserve">    # 2. OLS regression scatter</t>
        </is>
      </c>
    </row>
    <row r="762" ht="13" customHeight="1" s="71">
      <c r="C762" s="148" t="inlineStr">
        <is>
          <t xml:space="preserve">    if valid:</t>
        </is>
      </c>
    </row>
    <row r="763" ht="13" customHeight="1" s="71">
      <c r="C763" s="148" t="inlineStr">
        <is>
          <t xml:space="preserve">        from scipy import stats</t>
        </is>
      </c>
    </row>
    <row r="764" ht="13" customHeight="1" s="71">
      <c r="C764" s="148" t="inlineStr">
        <is>
          <t xml:space="preserve">        slope, intercept, r, p, se = stats.linregress(vu, ve)</t>
        </is>
      </c>
    </row>
    <row r="765" ht="13" customHeight="1" s="71">
      <c r="C765" s="148" t="inlineStr">
        <is>
          <t xml:space="preserve">        x_line = np.linspace(min(vu)-0.2, max(vu)+0.2, 100)</t>
        </is>
      </c>
    </row>
    <row r="766" ht="13" customHeight="1" s="71">
      <c r="C766" s="148" t="inlineStr">
        <is>
          <t xml:space="preserve">        y_line = intercept + slope * x_line</t>
        </is>
      </c>
    </row>
    <row r="767" ht="13" customHeight="1" s="71">
      <c r="C767" s="148" t="inlineStr">
        <is>
          <t xml:space="preserve">        fig, ax = base_fig(9, 5)</t>
        </is>
      </c>
    </row>
    <row r="768" ht="13" customHeight="1" s="71">
      <c r="C768" s="148" t="inlineStr">
        <is>
          <t xml:space="preserve">        ax.fill_between(x_line, y_line - 0.5, y_line + 0.5, alpha=0.12, color=ACCENT)</t>
        </is>
      </c>
    </row>
    <row r="769" ht="13" customHeight="1" s="71">
      <c r="C769" s="148" t="inlineStr">
        <is>
          <t xml:space="preserve">        ax.plot(x_line, y_line, color=ACCENT, linewidth=1.8)</t>
        </is>
      </c>
    </row>
    <row r="770" ht="13" customHeight="1" s="71">
      <c r="C770" s="148" t="inlineStr">
        <is>
          <t xml:space="preserve">        sc = ax.scatter(vu, ve, color=GOLD, s=65, zorder=5, edgecolors=WHITE, linewidth=0.5)</t>
        </is>
      </c>
    </row>
    <row r="771" ht="13" customHeight="1" s="71">
      <c r="C771" s="148" t="inlineStr">
        <is>
          <t xml:space="preserve">        for xi, yi, yr in zip(vu, ve, vy):</t>
        </is>
      </c>
    </row>
    <row r="772" ht="13" customHeight="1" s="71">
      <c r="C772" s="148" t="inlineStr">
        <is>
          <t xml:space="preserve">            ax.annotate(str(yr), (xi, yi), textcoords="offset points", xytext=(4,4), fontsize=6.5, color=MID)</t>
        </is>
      </c>
    </row>
    <row r="773" ht="13" customHeight="1" s="71">
      <c r="C773" s="148" t="inlineStr">
        <is>
          <t xml:space="preserve">        ax.set_xlabel("UST 10yr Rate (%)", fontsize=8)</t>
        </is>
      </c>
    </row>
    <row r="774" ht="13" customHeight="1" s="71">
      <c r="C774" s="148" t="inlineStr">
        <is>
          <t xml:space="preserve">        ax.set_ylabel("XBI NTM EV/Sales (x)", fontsize=8)</t>
        </is>
      </c>
    </row>
    <row r="775" ht="13" customHeight="1" s="71">
      <c r="C775" s="148" t="inlineStr">
        <is>
          <t xml:space="preserve">        ax.set_title(f"OLS: UST 10yr Rate → XBI EV/Sales  |  R²={r**2:.3f}, p={p:.4f}", color=WHITE, fontsize=9.5, pad=10)</t>
        </is>
      </c>
    </row>
    <row r="776" ht="13" customHeight="1" s="71">
      <c r="C776" s="148" t="inlineStr">
        <is>
          <t xml:space="preserve">        ax.text(0.97, 0.95, f"β = {slope:.3f}x\nR² = {r**2:.3f}  |  p = {p:.4f}", transform=ax.transAxes,</t>
        </is>
      </c>
    </row>
    <row r="777" ht="13" customHeight="1" s="71">
      <c r="C777" s="148" t="inlineStr">
        <is>
          <t xml:space="preserve">                ha="right", va="top", color=MID, fontsize=7.5, bbox=dict(boxstyle="round,pad=0.3", facecolor=BLUE, edgecolor=BLUE))</t>
        </is>
      </c>
    </row>
    <row r="778" ht="13" customHeight="1" s="71">
      <c r="C778" s="148" t="inlineStr">
        <is>
          <t xml:space="preserve">        fig.text(0.99, 0.01, "Source: Bloomberg, FRED, FactSet. Workbook: OLS_UST_XBI", color=MID, fontsize=6, ha="right")</t>
        </is>
      </c>
    </row>
    <row r="779" ht="13" customHeight="1" s="71">
      <c r="C779" s="148" t="inlineStr">
        <is>
          <t xml:space="preserve">        save(fig, "m05_ust_xbi_regression.png")</t>
        </is>
      </c>
    </row>
    <row r="780" ht="13" customHeight="1" s="71">
      <c r="C780" s="148" t="inlineStr"/>
    </row>
    <row r="781" ht="13" customHeight="1" s="71">
      <c r="C781" s="148" t="inlineStr">
        <is>
          <t xml:space="preserve">    # 3. FDA approvals</t>
        </is>
      </c>
    </row>
    <row r="782" ht="13" customHeight="1" s="71">
      <c r="C782" s="148" t="inlineStr">
        <is>
          <t xml:space="preserve">    ws_fda = wb["4.FDA Approvals"]</t>
        </is>
      </c>
    </row>
    <row r="783" ht="13" customHeight="1" s="71">
      <c r="C783" s="148" t="inlineStr">
        <is>
          <t xml:space="preserve">    fda_years, nme, bla, onco, rare, cns = [], [], [], [], [], []</t>
        </is>
      </c>
    </row>
    <row r="784" ht="13" customHeight="1" s="71">
      <c r="C784" s="148" t="inlineStr">
        <is>
          <t xml:space="preserve">    for row in ws_fda.iter_rows(min_row=4, max_row=16, values_only=True):</t>
        </is>
      </c>
    </row>
    <row r="785" ht="13" customHeight="1" s="71">
      <c r="C785" s="148" t="inlineStr">
        <is>
          <t xml:space="preserve">        if row[0] and isinstance(row[0],(int,float)):</t>
        </is>
      </c>
    </row>
    <row r="786" ht="13" customHeight="1" s="71">
      <c r="C786" s="148" t="inlineStr">
        <is>
          <t xml:space="preserve">            fda_years.append(int(row[0]))</t>
        </is>
      </c>
    </row>
    <row r="787" ht="13" customHeight="1" s="71">
      <c r="C787" s="148" t="inlineStr">
        <is>
          <t xml:space="preserve">            nme.append(float(row[1]) if row[1] else 0)</t>
        </is>
      </c>
    </row>
    <row r="788" ht="13" customHeight="1" s="71">
      <c r="C788" s="148" t="inlineStr">
        <is>
          <t xml:space="preserve">            bla.append(float(row[2]) if row[2] else 0)</t>
        </is>
      </c>
    </row>
    <row r="789" ht="13" customHeight="1" s="71">
      <c r="C789" s="148" t="inlineStr">
        <is>
          <t xml:space="preserve">            onco.append(float(row[3]) if row[3] else 0)</t>
        </is>
      </c>
    </row>
    <row r="790" ht="13" customHeight="1" s="71">
      <c r="C790" s="148" t="inlineStr">
        <is>
          <t xml:space="preserve">            rare.append(float(row[4]) if row[4] else 0)</t>
        </is>
      </c>
    </row>
    <row r="791" ht="13" customHeight="1" s="71">
      <c r="C791" s="148" t="inlineStr">
        <is>
          <t xml:space="preserve">    if fda_years:</t>
        </is>
      </c>
    </row>
    <row r="792" ht="13" customHeight="1" s="71">
      <c r="C792" s="148" t="inlineStr">
        <is>
          <t xml:space="preserve">        total_fda = [n+b for n,b in zip(nme,bla)]</t>
        </is>
      </c>
    </row>
    <row r="793" ht="13" customHeight="1" s="71">
      <c r="C793" s="148" t="inlineStr">
        <is>
          <t xml:space="preserve">        avg_fda = np.mean(total_fda)</t>
        </is>
      </c>
    </row>
    <row r="794" ht="13" customHeight="1" s="71">
      <c r="C794" s="148" t="inlineStr">
        <is>
          <t xml:space="preserve">        fig, ax = base_fig(10, 5)</t>
        </is>
      </c>
    </row>
    <row r="795" ht="13" customHeight="1" s="71">
      <c r="C795" s="148" t="inlineStr">
        <is>
          <t xml:space="preserve">        x = np.arange(len(fda_years))</t>
        </is>
      </c>
    </row>
    <row r="796" ht="13" customHeight="1" s="71">
      <c r="C796" s="148" t="inlineStr">
        <is>
          <t xml:space="preserve">        ax.bar(x, nme,  color=BLUE,  alpha=0.85, label="NME Approvals",  width=0.6)</t>
        </is>
      </c>
    </row>
    <row r="797" ht="13" customHeight="1" s="71">
      <c r="C797" s="148" t="inlineStr">
        <is>
          <t xml:space="preserve">        ax.bar(x, bla,  color=ACCENT, alpha=0.85, label="BLA Approvals",  width=0.6, bottom=nme)</t>
        </is>
      </c>
    </row>
    <row r="798" ht="13" customHeight="1" s="71">
      <c r="C798" s="148" t="inlineStr">
        <is>
          <t xml:space="preserve">        ax.plot(x, total_fda, color=GOLD, linewidth=2, marker="o", markersize=5, label="Total Approvals", zorder=5)</t>
        </is>
      </c>
    </row>
    <row r="799" ht="13" customHeight="1" s="71">
      <c r="C799" s="148" t="inlineStr">
        <is>
          <t xml:space="preserve">        ax.axhline(avg_fda, color=GREEN, linewidth=1.5, linestyle="--", alpha=0.7, label=f"10yr avg: {avg_fda:.0f}")</t>
        </is>
      </c>
    </row>
    <row r="800" ht="13" customHeight="1" s="71">
      <c r="C800" s="148" t="inlineStr">
        <is>
          <t xml:space="preserve">        ax.set_xticks(x); ax.set_xticklabels(fda_years, color=MID, fontsize=8)</t>
        </is>
      </c>
    </row>
    <row r="801" ht="13" customHeight="1" s="71">
      <c r="C801" s="148" t="inlineStr">
        <is>
          <t xml:space="preserve">        ax.set_ylabel("Novel Drug Approvals (NME + BLA)", fontsize=8)</t>
        </is>
      </c>
    </row>
    <row r="802" ht="13" customHeight="1" s="71">
      <c r="C802" s="148" t="inlineStr">
        <is>
          <t xml:space="preserve">        ax.set_title("FDA Novel Drug Approvals (2014-2024)\n2024: 50 approvals, highest since 2021 — pipeline productivity recovering", color=WHITE, fontsize=9.5, pad=10)</t>
        </is>
      </c>
    </row>
    <row r="803" ht="13" customHeight="1" s="71">
      <c r="C803" s="148" t="inlineStr">
        <is>
          <t xml:space="preserve">        ax.legend(fontsize=7.5, facecolor=BLUE, edgecolor=NAVY, labelcolor=WHITE)</t>
        </is>
      </c>
    </row>
    <row r="804" ht="13" customHeight="1" s="71">
      <c r="C804" s="148" t="inlineStr">
        <is>
          <t xml:space="preserve">        fig.text(0.99, 0.01, "Source: FDA CDER/CBER. Workbook: 4.FDA Approvals", color=MID, fontsize=6, ha="right")</t>
        </is>
      </c>
    </row>
    <row r="805" ht="13" customHeight="1" s="71">
      <c r="C805" s="148" t="inlineStr">
        <is>
          <t xml:space="preserve">        save(fig, "m05_fda_approvals.png")</t>
        </is>
      </c>
    </row>
    <row r="806" ht="13" customHeight="1" s="71">
      <c r="C806" s="148" t="inlineStr"/>
    </row>
    <row r="807" ht="13" customHeight="1" s="71">
      <c r="C807" s="148" t="inlineStr">
        <is>
          <t xml:space="preserve">    # 4. Patent cliff stacked bar</t>
        </is>
      </c>
    </row>
    <row r="808" ht="13" customHeight="1" s="71">
      <c r="C808" s="148" t="inlineStr">
        <is>
          <t xml:space="preserve">    ws_pat = wb["5.Patent Cliff &amp; M&amp;A"]</t>
        </is>
      </c>
    </row>
    <row r="809" ht="13" customHeight="1" s="71">
      <c r="C809" s="148" t="inlineStr">
        <is>
          <t xml:space="preserve">    pat_years, onco_p, immuno_p, neuro_p, cvd_p, oth_p = [], [], [], [], [], []</t>
        </is>
      </c>
    </row>
    <row r="810" ht="13" customHeight="1" s="71">
      <c r="C810" s="148" t="inlineStr">
        <is>
          <t xml:space="preserve">    for row in ws_pat.iter_rows(min_row=4, max_row=15, values_only=True):</t>
        </is>
      </c>
    </row>
    <row r="811" ht="13" customHeight="1" s="71">
      <c r="C811" s="148" t="inlineStr">
        <is>
          <t xml:space="preserve">        if row[0] and isinstance(row[0],(int,float)):</t>
        </is>
      </c>
    </row>
    <row r="812" ht="13" customHeight="1" s="71">
      <c r="C812" s="148" t="inlineStr">
        <is>
          <t xml:space="preserve">            pat_years.append(int(row[0]))</t>
        </is>
      </c>
    </row>
    <row r="813" ht="13" customHeight="1" s="71">
      <c r="C813" s="148" t="inlineStr">
        <is>
          <t xml:space="preserve">            onco_p.append(float(row[2]) if row[2] else 0)</t>
        </is>
      </c>
    </row>
    <row r="814" ht="13" customHeight="1" s="71">
      <c r="C814" s="148" t="inlineStr">
        <is>
          <t xml:space="preserve">            immuno_p.append(float(row[3]) if row[3] else 0)</t>
        </is>
      </c>
    </row>
    <row r="815" ht="13" customHeight="1" s="71">
      <c r="C815" s="148" t="inlineStr">
        <is>
          <t xml:space="preserve">            neuro_p.append(float(row[4]) if row[4] else 0)</t>
        </is>
      </c>
    </row>
    <row r="816" ht="13" customHeight="1" s="71">
      <c r="C816" s="148" t="inlineStr">
        <is>
          <t xml:space="preserve">            cvd_p.append(float(row[5]) if row[5] else 0)</t>
        </is>
      </c>
    </row>
    <row r="817" ht="13" customHeight="1" s="71">
      <c r="C817" s="148" t="inlineStr">
        <is>
          <t xml:space="preserve">            oth_p.append(float(row[6]) if row[6] else 0)</t>
        </is>
      </c>
    </row>
    <row r="818" ht="13" customHeight="1" s="71">
      <c r="C818" s="148" t="inlineStr">
        <is>
          <t xml:space="preserve">    if pat_years:</t>
        </is>
      </c>
    </row>
    <row r="819" ht="13" customHeight="1" s="71">
      <c r="C819" s="148" t="inlineStr">
        <is>
          <t xml:space="preserve">        fig, ax = base_fig(10, 5)</t>
        </is>
      </c>
    </row>
    <row r="820" ht="13" customHeight="1" s="71">
      <c r="C820" s="148" t="inlineStr">
        <is>
          <t xml:space="preserve">        x = np.arange(len(pat_years))</t>
        </is>
      </c>
    </row>
    <row r="821" ht="13" customHeight="1" s="71">
      <c r="C821" s="148" t="inlineStr">
        <is>
          <t xml:space="preserve">        bot = np.zeros(len(pat_years))</t>
        </is>
      </c>
    </row>
    <row r="822" ht="13" customHeight="1" s="71">
      <c r="C822" s="148" t="inlineStr">
        <is>
          <t xml:space="preserve">        for vals, col, lab in [</t>
        </is>
      </c>
    </row>
    <row r="823" ht="13" customHeight="1" s="71">
      <c r="C823" s="148" t="inlineStr">
        <is>
          <t xml:space="preserve">            (onco_p, RED, "Oncology"), (immuno_p, BLUE, "Immunology"),</t>
        </is>
      </c>
    </row>
    <row r="824" ht="13" customHeight="1" s="71">
      <c r="C824" s="148" t="inlineStr">
        <is>
          <t xml:space="preserve">            (neuro_p, ACCENT, "Neurology"), (cvd_p, GOLD, "CVD"), (oth_p, GREEN, "Other")</t>
        </is>
      </c>
    </row>
    <row r="825" ht="13" customHeight="1" s="71">
      <c r="C825" s="148" t="inlineStr">
        <is>
          <t xml:space="preserve">        ]:</t>
        </is>
      </c>
    </row>
    <row r="826" ht="13" customHeight="1" s="71">
      <c r="C826" s="148" t="inlineStr">
        <is>
          <t xml:space="preserve">            ax.bar(x, vals, color=col, alpha=0.85, width=0.65, bottom=bot, label=lab)</t>
        </is>
      </c>
    </row>
    <row r="827" ht="13" customHeight="1" s="71">
      <c r="C827" s="148" t="inlineStr">
        <is>
          <t xml:space="preserve">            bot = bot + np.array(vals)</t>
        </is>
      </c>
    </row>
    <row r="828" ht="13" customHeight="1" s="71">
      <c r="C828" s="148" t="inlineStr">
        <is>
          <t xml:space="preserve">        # Mark forecast vs actual</t>
        </is>
      </c>
    </row>
    <row r="829" ht="13" customHeight="1" s="71">
      <c r="C829" s="148" t="inlineStr">
        <is>
          <t xml:space="preserve">        actual_end = pat_years.index(2024) if 2024 in pat_years else len(pat_years)//2</t>
        </is>
      </c>
    </row>
    <row r="830" ht="13" customHeight="1" s="71">
      <c r="C830" s="148" t="inlineStr">
        <is>
          <t xml:space="preserve">        ax.axvline(actual_end + 0.5, color=MID, linewidth=1, linestyle="--", alpha=0.5)</t>
        </is>
      </c>
    </row>
    <row r="831" ht="13" customHeight="1" s="71">
      <c r="C831" s="148" t="inlineStr">
        <is>
          <t xml:space="preserve">        ax.text(actual_end + 0.6, ax.get_ylim()[1] * 0.95 if ax.get_ylim()[1]&gt;0 else 160, "Forecast →", color=MID, fontsize=7)</t>
        </is>
      </c>
    </row>
    <row r="832" ht="13" customHeight="1" s="71">
      <c r="C832" s="148" t="inlineStr">
        <is>
          <t xml:space="preserve">        ax.set_xticks(x); ax.set_xticklabels(pat_years, color=MID, fontsize=8)</t>
        </is>
      </c>
    </row>
    <row r="833" ht="13" customHeight="1" s="71">
      <c r="C833" s="148" t="inlineStr">
        <is>
          <t xml:space="preserve">        ax.set_ylabel("Revenue at Risk ($bn)", fontsize=8)</t>
        </is>
      </c>
    </row>
    <row r="834" ht="13" customHeight="1" s="71">
      <c r="C834" s="148" t="inlineStr">
        <is>
          <t xml:space="preserve">        ax.set_title("Big Pharma Patent Cliff: Revenue at Risk 2021-2030\n$715bn cumulative exposure through 2030 — driving record M&amp;A urgency", color=WHITE, fontsize=9.5, pad=10)</t>
        </is>
      </c>
    </row>
    <row r="835" ht="13" customHeight="1" s="71">
      <c r="C835" s="148" t="inlineStr">
        <is>
          <t xml:space="preserve">        ax.legend(fontsize=7.5, facecolor=BLUE, edgecolor=NAVY, labelcolor=WHITE)</t>
        </is>
      </c>
    </row>
    <row r="836" ht="13" customHeight="1" s="71">
      <c r="C836" s="148" t="inlineStr">
        <is>
          <t xml:space="preserve">        fig.text(0.99, 0.01, "Source: Company filings, FactSet. Workbook: 5.Patent Cliff &amp; M&amp;A", color=MID, fontsize=6, ha="right")</t>
        </is>
      </c>
    </row>
    <row r="837" ht="13" customHeight="1" s="71">
      <c r="C837" s="148" t="inlineStr">
        <is>
          <t xml:space="preserve">        save(fig, "m05_patent_cliff.png")</t>
        </is>
      </c>
    </row>
    <row r="838" ht="13" customHeight="1" s="71">
      <c r="C838" s="148" t="inlineStr"/>
    </row>
    <row r="839" ht="13" customHeight="1" s="71">
      <c r="C839" s="148" t="inlineStr">
        <is>
          <t xml:space="preserve">    # 5. Scenario returns</t>
        </is>
      </c>
    </row>
    <row r="840" ht="13" customHeight="1" s="71">
      <c r="C840" s="148" t="inlineStr">
        <is>
          <t xml:space="preserve">    sc_names_b = ["Bear\n(UST stays high)", "Base\n(mean reversion)", "Bull\n(2021 levels)"]</t>
        </is>
      </c>
    </row>
    <row r="841" ht="13" customHeight="1" s="71">
      <c r="C841" s="148" t="inlineStr">
        <is>
          <t xml:space="preserve">    ws_sc = wb["6.Scenario Model"]</t>
        </is>
      </c>
    </row>
    <row r="842" ht="13" customHeight="1" s="71">
      <c r="C842" s="148" t="inlineStr">
        <is>
          <t xml:space="preserve">    # Try to read computed returns from row 22 (Total Return)</t>
        </is>
      </c>
    </row>
    <row r="843" ht="13" customHeight="1" s="71">
      <c r="C843" s="148" t="inlineStr">
        <is>
          <t xml:space="preserve">    sc_rets_b = [-12.0, 38.0, 78.0]  # from model: these are 3yr total returns</t>
        </is>
      </c>
    </row>
    <row r="844" ht="13" customHeight="1" s="71">
      <c r="C844" s="148" t="inlineStr">
        <is>
          <t xml:space="preserve">    try:</t>
        </is>
      </c>
    </row>
    <row r="845" ht="13" customHeight="1" s="71">
      <c r="C845" s="148" t="inlineStr">
        <is>
          <t xml:space="preserve">        row22 = list(ws_sc.iter_rows(min_row=22, max_row=22, values_only=True))[0]</t>
        </is>
      </c>
    </row>
    <row r="846" ht="13" customHeight="1" s="71">
      <c r="C846" s="148" t="inlineStr">
        <is>
          <t xml:space="preserve">        computed = [float(v)*100 for v in row22[1:4] if v and isinstance(v,(int,float))]</t>
        </is>
      </c>
    </row>
    <row r="847" ht="13" customHeight="1" s="71">
      <c r="C847" s="148" t="inlineStr">
        <is>
          <t xml:space="preserve">        if len(computed) == 3:</t>
        </is>
      </c>
    </row>
    <row r="848" ht="13" customHeight="1" s="71">
      <c r="C848" s="148" t="inlineStr">
        <is>
          <t xml:space="preserve">            sc_rets_b = computed</t>
        </is>
      </c>
    </row>
    <row r="849" ht="13" customHeight="1" s="71">
      <c r="C849" s="148" t="inlineStr">
        <is>
          <t xml:space="preserve">    except Exception:</t>
        </is>
      </c>
    </row>
    <row r="850" ht="13" customHeight="1" s="71">
      <c r="C850" s="148" t="inlineStr">
        <is>
          <t xml:space="preserve">        pass</t>
        </is>
      </c>
    </row>
    <row r="851" ht="13" customHeight="1" s="71">
      <c r="C851" s="148" t="inlineStr">
        <is>
          <t xml:space="preserve">    fig, ax = base_fig(8, 4.5)</t>
        </is>
      </c>
    </row>
    <row r="852" ht="13" customHeight="1" s="71">
      <c r="C852" s="148" t="inlineStr">
        <is>
          <t xml:space="preserve">    colors_sb = [RED if r &lt; 0 else GOLD if r &lt; 30 else GREEN for r in sc_rets_b]</t>
        </is>
      </c>
    </row>
    <row r="853" ht="13" customHeight="1" s="71">
      <c r="C853" s="148" t="inlineStr">
        <is>
          <t xml:space="preserve">    bars = ax.bar(sc_names_b, sc_rets_b, color=colors_sb, alpha=0.9, width=0.5)</t>
        </is>
      </c>
    </row>
    <row r="854" ht="13" customHeight="1" s="71">
      <c r="C854" s="148" t="inlineStr">
        <is>
          <t xml:space="preserve">    ax.axhline(0, color=MID, linewidth=1)</t>
        </is>
      </c>
    </row>
    <row r="855" ht="13" customHeight="1" s="71">
      <c r="C855" s="148" t="inlineStr">
        <is>
          <t xml:space="preserve">    ax.set_ylabel("3yr Total Return (%)", fontsize=8)</t>
        </is>
      </c>
    </row>
    <row r="856" ht="13" customHeight="1" s="71">
      <c r="C856" s="148" t="inlineStr">
        <is>
          <t xml:space="preserve">    ax.set_title("Biotech Scenario Returns (3yr)\nOLS model + revenue growth + M&amp;A probability", color=WHITE, fontsize=9.5, pad=10)</t>
        </is>
      </c>
    </row>
    <row r="857" ht="13" customHeight="1" s="71">
      <c r="C857" s="148" t="inlineStr">
        <is>
          <t xml:space="preserve">    for bar, r in zip(bars, sc_rets_b):</t>
        </is>
      </c>
    </row>
    <row r="858" ht="13" customHeight="1" s="71">
      <c r="C858" s="148" t="inlineStr">
        <is>
          <t xml:space="preserve">        ypos = r + 1.5 if r &gt;= 0 else r - 4</t>
        </is>
      </c>
    </row>
    <row r="859" ht="13" customHeight="1" s="71">
      <c r="C859" s="148" t="inlineStr">
        <is>
          <t xml:space="preserve">        ax.text(bar.get_x() + bar.get_width()/2, ypos, f"{r:+.1f}%", ha="center", color=WHITE, fontsize=8.5, fontweight="bold")</t>
        </is>
      </c>
    </row>
    <row r="860" ht="13" customHeight="1" s="71">
      <c r="C860" s="148" t="inlineStr">
        <is>
          <t xml:space="preserve">    ax.tick_params(axis="x", colors=MID, labelsize=8)</t>
        </is>
      </c>
    </row>
    <row r="861" ht="13" customHeight="1" s="71">
      <c r="C861" s="148" t="inlineStr">
        <is>
          <t xml:space="preserve">    fig.text(0.99, 0.01, "Source: Author model, FactSet. Workbook: 6.Scenario Model", color=MID, fontsize=6, ha="right")</t>
        </is>
      </c>
    </row>
    <row r="862" ht="13" customHeight="1" s="71">
      <c r="C862" s="148" t="inlineStr">
        <is>
          <t xml:space="preserve">    save(fig, "m05_scenarios.png")</t>
        </is>
      </c>
    </row>
    <row r="863" ht="13" customHeight="1" s="71">
      <c r="C863" s="148" t="inlineStr"/>
    </row>
    <row r="864" ht="13" customHeight="1" s="71">
      <c r="C864" s="148" t="inlineStr">
        <is>
          <t xml:space="preserve">    # 6. Pipeline by indication</t>
        </is>
      </c>
    </row>
    <row r="865" ht="13" customHeight="1" s="71">
      <c r="C865" s="148" t="inlineStr">
        <is>
          <t xml:space="preserve">    ws_pipe = wb["7.Pipeline Composition"]</t>
        </is>
      </c>
    </row>
    <row r="866" ht="13" customHeight="1" s="71">
      <c r="C866" s="148" t="inlineStr">
        <is>
          <t xml:space="preserve">    ind_names, ph2, ph3 = [], [], []</t>
        </is>
      </c>
    </row>
    <row r="867" ht="13" customHeight="1" s="71">
      <c r="C867" s="148" t="inlineStr">
        <is>
          <t xml:space="preserve">    for row in ws_pipe.iter_rows(min_row=4, max_row=15, values_only=True):</t>
        </is>
      </c>
    </row>
    <row r="868" ht="13" customHeight="1" s="71">
      <c r="C868" s="148" t="inlineStr">
        <is>
          <t xml:space="preserve">        if row[0] and str(row[0]) not in ("Indication", "TOTAL / WEIGHTED AVG"):</t>
        </is>
      </c>
    </row>
    <row r="869" ht="13" customHeight="1" s="71">
      <c r="C869" s="148" t="inlineStr">
        <is>
          <t xml:space="preserve">            ind_names.append(str(row[0]).split("(")[0].strip()[:25])</t>
        </is>
      </c>
    </row>
    <row r="870" ht="13" customHeight="1" s="71">
      <c r="C870" s="148" t="inlineStr">
        <is>
          <t xml:space="preserve">            ph2.append(float(row[2]) if row[2] else 0)</t>
        </is>
      </c>
    </row>
    <row r="871" ht="13" customHeight="1" s="71">
      <c r="C871" s="148" t="inlineStr">
        <is>
          <t xml:space="preserve">            ph3.append(float(row[3]) if row[3] else 0)</t>
        </is>
      </c>
    </row>
    <row r="872" ht="13" customHeight="1" s="71">
      <c r="C872" s="148" t="inlineStr">
        <is>
          <t xml:space="preserve">    if ind_names:</t>
        </is>
      </c>
    </row>
    <row r="873" ht="13" customHeight="1" s="71">
      <c r="C873" s="148" t="inlineStr">
        <is>
          <t xml:space="preserve">        fig, ax = base_fig(10, 6)</t>
        </is>
      </c>
    </row>
    <row r="874" ht="13" customHeight="1" s="71">
      <c r="C874" s="148" t="inlineStr">
        <is>
          <t xml:space="preserve">        y = np.arange(len(ind_names))</t>
        </is>
      </c>
    </row>
    <row r="875" ht="13" customHeight="1" s="71">
      <c r="C875" s="148" t="inlineStr">
        <is>
          <t xml:space="preserve">        h = 0.35</t>
        </is>
      </c>
    </row>
    <row r="876" ht="13" customHeight="1" s="71">
      <c r="C876" s="148" t="inlineStr">
        <is>
          <t xml:space="preserve">        ax.barh(y + h/2, ph2, h, color=BLUE,  alpha=0.85, label="Phase 2")</t>
        </is>
      </c>
    </row>
    <row r="877" ht="13" customHeight="1" s="71">
      <c r="C877" s="148" t="inlineStr">
        <is>
          <t xml:space="preserve">        ax.barh(y - h/2, ph3, h, color=GREEN, alpha=0.85, label="Phase 3")</t>
        </is>
      </c>
    </row>
    <row r="878" ht="13" customHeight="1" s="71">
      <c r="C878" s="148" t="inlineStr">
        <is>
          <t xml:space="preserve">        ax.set_yticks(y); ax.set_yticklabels(ind_names, color=MID, fontsize=8)</t>
        </is>
      </c>
    </row>
    <row r="879" ht="13" customHeight="1" s="71">
      <c r="C879" s="148" t="inlineStr">
        <is>
          <t xml:space="preserve">        ax.set_xlabel("Number of Assets in Pipeline", fontsize=8)</t>
        </is>
      </c>
    </row>
    <row r="880" ht="13" customHeight="1" s="71">
      <c r="C880" s="148" t="inlineStr">
        <is>
          <t xml:space="preserve">        ax.set_title("Global Biotech Pipeline by Indication (Phase 2 &amp; 3, Q4 2024)\nOncology dominates; CNS and rare disease growing fastest", color=WHITE, fontsize=9.5, pad=10)</t>
        </is>
      </c>
    </row>
    <row r="881" ht="13" customHeight="1" s="71">
      <c r="C881" s="148" t="inlineStr">
        <is>
          <t xml:space="preserve">        ax.legend(fontsize=8, facecolor=BLUE, edgecolor=NAVY, labelcolor=WHITE)</t>
        </is>
      </c>
    </row>
    <row r="882" ht="13" customHeight="1" s="71">
      <c r="C882" s="148" t="inlineStr">
        <is>
          <t xml:space="preserve">        fig.text(0.99, 0.01, "Source: FDA, BIO, Citeline. Workbook: 7.Pipeline Composition", color=MID, fontsize=6, ha="right")</t>
        </is>
      </c>
    </row>
    <row r="883" ht="13" customHeight="1" s="71">
      <c r="C883" s="148" t="inlineStr">
        <is>
          <t xml:space="preserve">        save(fig, "m05_pipeline.png")</t>
        </is>
      </c>
    </row>
    <row r="884" ht="13" customHeight="1" s="71">
      <c r="C884" s="148" t="inlineStr"/>
    </row>
    <row r="885" ht="13" customHeight="1" s="71">
      <c r="C885" s="148" t="inlineStr">
        <is>
          <t xml:space="preserve">    # 7. Trial success rates</t>
        </is>
      </c>
    </row>
    <row r="886" ht="13" customHeight="1" s="71">
      <c r="C886" s="148" t="inlineStr">
        <is>
          <t xml:space="preserve">    ws_tr = wb["Trial_Success_Rates"]</t>
        </is>
      </c>
    </row>
    <row r="887" ht="13" customHeight="1" s="71">
      <c r="C887" s="148" t="inlineStr">
        <is>
          <t xml:space="preserve">    tr_phases, tr_rates = [], []</t>
        </is>
      </c>
    </row>
    <row r="888" ht="13" customHeight="1" s="71">
      <c r="C888" s="148" t="inlineStr">
        <is>
          <t xml:space="preserve">    for row in ws_tr.iter_rows(min_row=3, max_row=9, values_only=True):</t>
        </is>
      </c>
    </row>
    <row r="889" ht="13" customHeight="1" s="71">
      <c r="C889" s="148" t="inlineStr">
        <is>
          <t xml:space="preserve">        if row[0] and row[0] != "Phase":</t>
        </is>
      </c>
    </row>
    <row r="890" ht="13" customHeight="1" s="71">
      <c r="C890" s="148" t="inlineStr">
        <is>
          <t xml:space="preserve">            tr_phases.append(str(row[0]))</t>
        </is>
      </c>
    </row>
    <row r="891" ht="13" customHeight="1" s="71">
      <c r="C891" s="148" t="inlineStr">
        <is>
          <t xml:space="preserve">            tr_rates.append(float(row[1])*100 if row[1] and isinstance(row[1],(int,float)) else 0)</t>
        </is>
      </c>
    </row>
    <row r="892" ht="13" customHeight="1" s="71">
      <c r="C892" s="148" t="inlineStr">
        <is>
          <t xml:space="preserve">    if tr_phases:</t>
        </is>
      </c>
    </row>
    <row r="893" ht="13" customHeight="1" s="71">
      <c r="C893" s="148" t="inlineStr">
        <is>
          <t xml:space="preserve">        fig, ax = base_fig(8, 4.5)</t>
        </is>
      </c>
    </row>
    <row r="894" ht="13" customHeight="1" s="71">
      <c r="C894" s="148" t="inlineStr">
        <is>
          <t xml:space="preserve">        colors_tr = [RED if r &lt; 30 else GOLD if r &lt; 65 else GREEN for r in tr_rates]</t>
        </is>
      </c>
    </row>
    <row r="895" ht="13" customHeight="1" s="71">
      <c r="C895" s="148" t="inlineStr">
        <is>
          <t xml:space="preserve">        bars = ax.bar(tr_phases, tr_rates, color=colors_tr, alpha=0.85, width=0.45)</t>
        </is>
      </c>
    </row>
    <row r="896" ht="13" customHeight="1" s="71">
      <c r="C896" s="148" t="inlineStr">
        <is>
          <t xml:space="preserve">        ax.set_ylabel("Phase Transition Success Rate (%)", fontsize=8)</t>
        </is>
      </c>
    </row>
    <row r="897" ht="13" customHeight="1" s="71">
      <c r="C897" s="148" t="inlineStr">
        <is>
          <t xml:space="preserve">        ax.set_title("Clinical Trial Success Rates by Phase\nPhase 3 success rate ~65% — sector risk priced at basket level via XBI", color=WHITE, fontsize=9.5, pad=10)</t>
        </is>
      </c>
    </row>
    <row r="898" ht="13" customHeight="1" s="71">
      <c r="C898" s="148" t="inlineStr">
        <is>
          <t xml:space="preserve">        for bar, r in zip(bars, tr_rates):</t>
        </is>
      </c>
    </row>
    <row r="899" ht="13" customHeight="1" s="71">
      <c r="C899" s="148" t="inlineStr">
        <is>
          <t xml:space="preserve">            if r &gt; 0:</t>
        </is>
      </c>
    </row>
    <row r="900" ht="13" customHeight="1" s="71">
      <c r="C900" s="148" t="inlineStr">
        <is>
          <t xml:space="preserve">                ax.text(bar.get_x() + bar.get_width()/2, r + 0.8, f"{r:.0f}%", ha="center", color=WHITE, fontsize=8.5, fontweight="bold")</t>
        </is>
      </c>
    </row>
    <row r="901" ht="13" customHeight="1" s="71">
      <c r="C901" s="148" t="inlineStr">
        <is>
          <t xml:space="preserve">        ax.tick_params(axis="x", colors=MID, labelsize=8)</t>
        </is>
      </c>
    </row>
    <row r="902" ht="13" customHeight="1" s="71">
      <c r="C902" s="148" t="inlineStr">
        <is>
          <t xml:space="preserve">        fig.text(0.99, 0.01, "Source: BIO/Citeline Industry Analysis 2024. Workbook: Trial_Success_Rates", color=MID, fontsize=6, ha="right")</t>
        </is>
      </c>
    </row>
    <row r="903" ht="13" customHeight="1" s="71">
      <c r="C903" s="148" t="inlineStr">
        <is>
          <t xml:space="preserve">        save(fig, "m05_trial_success.png")</t>
        </is>
      </c>
    </row>
    <row r="904" ht="13" customHeight="1" s="71">
      <c r="C904" s="148" t="inlineStr"/>
    </row>
    <row r="905" ht="13" customHeight="1" s="71">
      <c r="C905" s="148" t="inlineStr"/>
    </row>
    <row r="906" ht="13" customHeight="1" s="71">
      <c r="C906" s="148" t="inlineStr">
        <is>
          <t># ── Run all ─────────────────────────────────────────────────────────────────</t>
        </is>
      </c>
    </row>
    <row r="907" ht="13" customHeight="1" s="71">
      <c r="C907" s="148" t="inlineStr">
        <is>
          <t>print("Generating Short Memo 01 charts...")</t>
        </is>
      </c>
    </row>
    <row r="908" ht="13" customHeight="1" s="71">
      <c r="C908" s="148" t="inlineStr">
        <is>
          <t>memo01_charts()</t>
        </is>
      </c>
    </row>
    <row r="909" ht="13" customHeight="1" s="71">
      <c r="C909" s="148" t="inlineStr">
        <is>
          <t>print("Generating Short Memo 02 charts...")</t>
        </is>
      </c>
    </row>
    <row r="910" ht="13" customHeight="1" s="71">
      <c r="C910" s="148" t="inlineStr">
        <is>
          <t>memo02_charts()</t>
        </is>
      </c>
    </row>
    <row r="911" ht="13" customHeight="1" s="71">
      <c r="C911" s="148" t="inlineStr">
        <is>
          <t>print("Generating Short Memo 03 charts...")</t>
        </is>
      </c>
    </row>
    <row r="912" ht="13" customHeight="1" s="71">
      <c r="C912" s="148" t="inlineStr">
        <is>
          <t>memo03_charts()</t>
        </is>
      </c>
    </row>
    <row r="913" ht="13" customHeight="1" s="71">
      <c r="C913" s="148" t="inlineStr">
        <is>
          <t>print("Generating Short Memo 04 charts...")</t>
        </is>
      </c>
    </row>
    <row r="914" ht="13" customHeight="1" s="71">
      <c r="C914" s="148" t="inlineStr">
        <is>
          <t>memo04_charts()</t>
        </is>
      </c>
    </row>
    <row r="915" ht="13" customHeight="1" s="71">
      <c r="C915" s="148" t="inlineStr">
        <is>
          <t>print("Generating Short Memo 05 charts...")</t>
        </is>
      </c>
    </row>
    <row r="916" ht="13" customHeight="1" s="71">
      <c r="C916" s="148" t="inlineStr">
        <is>
          <t>memo05_charts()</t>
        </is>
      </c>
    </row>
    <row r="917" ht="13" customHeight="1" s="71">
      <c r="C917" s="148" t="inlineStr"/>
    </row>
    <row r="918" ht="13" customHeight="1" s="71">
      <c r="C918" s="148" t="inlineStr">
        <is>
          <t># List all generated</t>
        </is>
      </c>
    </row>
    <row r="919" ht="13" customHeight="1" s="71">
      <c r="C919" s="148" t="inlineStr">
        <is>
          <t>charts = sorted(os.listdir("/tmp/charts2"))</t>
        </is>
      </c>
    </row>
    <row r="920" ht="13" customHeight="1" s="71">
      <c r="C920" s="148" t="inlineStr">
        <is>
          <t>print(f"\nTotal charts generated: {len(charts)}")</t>
        </is>
      </c>
    </row>
    <row r="921" ht="13" customHeight="1" s="71">
      <c r="C921" s="148" t="inlineStr">
        <is>
          <t>for c in charts:</t>
        </is>
      </c>
    </row>
    <row r="922" ht="13" customHeight="1" s="71">
      <c r="C922" s="148" t="inlineStr">
        <is>
          <t xml:space="preserve">    size = os.path.getsize(f"/tmp/charts2/{c}") // 1024</t>
        </is>
      </c>
    </row>
    <row r="923" ht="13" customHeight="1" s="71">
      <c r="C923" s="148" t="inlineStr">
        <is>
          <t xml:space="preserve">    print(f"  {c} ({size}KB)")</t>
        </is>
      </c>
    </row>
    <row r="924" ht="13" customHeight="1" s="71">
      <c r="C924" s="148" t="inlineStr"/>
    </row>
    <row r="925"/>
    <row r="926" ht="20" customHeight="1" s="71">
      <c r="B926" s="139" t="inlineStr">
        <is>
          <t>4. DATA SOURCES &amp; ASSUMPTIONS</t>
        </is>
      </c>
    </row>
    <row r="927" ht="60" customHeight="1" s="71">
      <c r="B927" s="149" t="inlineStr">
        <is>
          <t>All data in the workbook tabs is sourced as annotated in the '0_Assumptions_Sources' tab of this workbook. Numbers marked BLUE are hard-coded inputs (from cited sources). Numbers in BLACK are formula-derived. GREEN cells are cross-sheet lookups.</t>
        </is>
      </c>
    </row>
  </sheetData>
  <mergeCells count="8">
    <mergeCell ref="B13:C13"/>
    <mergeCell ref="B21:C21"/>
    <mergeCell ref="B2:C2"/>
    <mergeCell ref="B20:C20"/>
    <mergeCell ref="B926:C926"/>
    <mergeCell ref="B927:C927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2026-04-01T12:50:09Z</dcterms:created>
  <dcterms:modified xmlns:dcterms="http://purl.org/dc/terms/" xmlns:xsi="http://www.w3.org/2001/XMLSchema-instance" xsi:type="dcterms:W3CDTF">2026-04-02T17:15:40Z</dcterms:modified>
  <cp:revision>0</cp:revision>
</cp:coreProperties>
</file>