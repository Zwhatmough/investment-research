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_Assumptions_Sources" sheetId="1" state="visible" r:id="rId1"/>
    <sheet xmlns:r="http://schemas.openxmlformats.org/officeDocument/2006/relationships" name="1.Overview" sheetId="2" state="visible" r:id="rId2"/>
    <sheet xmlns:r="http://schemas.openxmlformats.org/officeDocument/2006/relationships" name="2.Macro Thesis" sheetId="3" state="visible" r:id="rId3"/>
    <sheet xmlns:r="http://schemas.openxmlformats.org/officeDocument/2006/relationships" name="3.EV-Sales Regression" sheetId="4" state="visible" r:id="rId4"/>
    <sheet xmlns:r="http://schemas.openxmlformats.org/officeDocument/2006/relationships" name="4.FDA Approvals" sheetId="5" state="visible" r:id="rId5"/>
    <sheet xmlns:r="http://schemas.openxmlformats.org/officeDocument/2006/relationships" name="5.Patent Cliff &amp; M&amp;A" sheetId="6" state="visible" r:id="rId6"/>
    <sheet xmlns:r="http://schemas.openxmlformats.org/officeDocument/2006/relationships" name="6.Scenario Model" sheetId="7" state="visible" r:id="rId7"/>
    <sheet xmlns:r="http://schemas.openxmlformats.org/officeDocument/2006/relationships" name="7.Pipeline Composition" sheetId="8" state="visible" r:id="rId8"/>
    <sheet xmlns:r="http://schemas.openxmlformats.org/officeDocument/2006/relationships" name="OLS_UST_XBI" sheetId="9" state="visible" r:id="rId9"/>
    <sheet xmlns:r="http://schemas.openxmlformats.org/officeDocument/2006/relationships" name="Trial_Success_Rates" sheetId="10" state="visible" r:id="rId10"/>
    <sheet xmlns:r="http://schemas.openxmlformats.org/officeDocument/2006/relationships" name="MA_Premium_Data" sheetId="11" state="visible" r:id="rId11"/>
    <sheet xmlns:r="http://schemas.openxmlformats.org/officeDocument/2006/relationships" name="Charts" sheetId="12" state="visible" r:id="rId12"/>
    <sheet xmlns:r="http://schemas.openxmlformats.org/officeDocument/2006/relationships" name="Audit_Log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"/>
    <numFmt numFmtId="167" formatCode="0.000"/>
    <numFmt numFmtId="168" formatCode="\+0;\-0;\-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E6FA8"/>
      <sz val="9"/>
    </font>
    <font>
      <name val="Arial"/>
      <charset val="1"/>
      <family val="0"/>
      <color rgb="FF222222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333333"/>
      <sz val="9"/>
    </font>
    <font>
      <name val="Arial"/>
      <charset val="1"/>
      <family val="0"/>
      <color rgb="FF0000FF"/>
      <sz val="9"/>
    </font>
    <font>
      <name val="Arial"/>
      <charset val="1"/>
      <family val="0"/>
      <color rgb="FF000000"/>
      <sz val="9"/>
    </font>
    <font>
      <name val="Arial"/>
      <charset val="1"/>
      <family val="0"/>
      <i val="1"/>
      <color rgb="FF555555"/>
      <sz val="8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333333"/>
      <sz val="8"/>
    </font>
    <font>
      <name val="Arial"/>
      <charset val="1"/>
      <family val="0"/>
      <b val="1"/>
      <sz val="9"/>
    </font>
    <font>
      <name val="Arial"/>
      <charset val="1"/>
      <family val="0"/>
      <color rgb="FF008000"/>
      <sz val="9"/>
    </font>
    <font>
      <name val="Arial"/>
      <charset val="1"/>
      <family val="0"/>
      <b val="1"/>
      <color rgb="FF000000"/>
      <sz val="10"/>
    </font>
    <font>
      <name val="Calibri"/>
      <b val="1"/>
      <color rgb="000D1B2A"/>
      <sz val="13"/>
    </font>
    <font>
      <name val="Calibri"/>
      <b val="1"/>
      <color rgb="001B4F72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FF"/>
      <sz val="10"/>
    </font>
    <font>
      <name val="Calibri"/>
      <i val="1"/>
      <color rgb="00000000"/>
      <sz val="10"/>
    </font>
    <font>
      <name val="Calibri"/>
      <color rgb="00000000"/>
      <sz val="10"/>
    </font>
    <font>
      <name val="Calibri"/>
      <color rgb="001A7A40"/>
      <sz val="10"/>
    </font>
    <font>
      <name val="Calibri"/>
      <i val="1"/>
      <color rgb="00666666"/>
      <sz val="9"/>
    </font>
    <font>
      <name val="Calibri"/>
      <b val="1"/>
      <color rgb="000D1B2A"/>
      <sz val="14"/>
    </font>
    <font>
      <name val="Calibri"/>
      <b val="1"/>
      <color rgb="000D1B2A"/>
      <sz val="12"/>
    </font>
    <font>
      <name val="Calibri"/>
      <i val="1"/>
      <color rgb="00444444"/>
      <sz val="9"/>
    </font>
    <font>
      <b val="1"/>
      <color rgb="00F4F6F8"/>
      <sz val="12"/>
    </font>
    <font>
      <b val="1"/>
      <color rgb="00F4F6F8"/>
      <sz val="10"/>
    </font>
    <font>
      <color rgb="00333333"/>
      <sz val="9"/>
    </font>
    <font>
      <b val="1"/>
      <color rgb="00F4F6F8"/>
      <sz val="13"/>
    </font>
    <font>
      <color rgb="00F4F6F8"/>
      <sz val="9"/>
    </font>
    <font>
      <b val="1"/>
      <color rgb="00F4F6F8"/>
      <sz val="9"/>
    </font>
    <font>
      <color rgb="00000000"/>
      <sz val="9"/>
    </font>
    <font>
      <b val="1"/>
      <color rgb="00000000"/>
      <sz val="9"/>
    </font>
    <font>
      <color rgb="00000000"/>
      <sz val="8"/>
    </font>
  </fonts>
  <fills count="16">
    <fill>
      <patternFill/>
    </fill>
    <fill>
      <patternFill patternType="gray125"/>
    </fill>
    <fill>
      <patternFill patternType="solid">
        <fgColor rgb="FF0D1F3C"/>
        <bgColor rgb="FF222222"/>
      </patternFill>
    </fill>
    <fill>
      <patternFill patternType="solid">
        <fgColor rgb="FF1E6FA8"/>
        <bgColor rgb="FF008080"/>
      </patternFill>
    </fill>
    <fill>
      <patternFill patternType="solid">
        <fgColor rgb="FFEEF3F8"/>
        <bgColor rgb="FFFFFFFF"/>
      </patternFill>
    </fill>
    <fill>
      <patternFill patternType="solid">
        <fgColor rgb="FFFFF3CC"/>
        <bgColor rgb="FFFDDEDE"/>
      </patternFill>
    </fill>
    <fill>
      <patternFill patternType="solid">
        <fgColor rgb="FFFFFF00"/>
        <bgColor rgb="FFFFFF00"/>
      </patternFill>
    </fill>
    <fill>
      <patternFill patternType="solid">
        <fgColor rgb="FF2E8B57"/>
        <bgColor rgb="FF008080"/>
      </patternFill>
    </fill>
    <fill>
      <patternFill patternType="solid">
        <fgColor rgb="FFFDDEDE"/>
        <bgColor rgb="FFFFF3CC"/>
      </patternFill>
    </fill>
    <fill>
      <patternFill patternType="solid">
        <fgColor rgb="001B4F72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0D1B2A"/>
      </patternFill>
    </fill>
    <fill>
      <patternFill patternType="solid">
        <fgColor rgb="00EEF2F7"/>
      </patternFill>
    </fill>
    <fill>
      <patternFill patternType="solid">
        <fgColor rgb="002E4057"/>
      </patternFill>
    </fill>
    <fill>
      <patternFill patternType="solid">
        <fgColor rgb="00FFF9E6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E6FA8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/>
      <top style="thin">
        <color rgb="FFB0BEC5"/>
      </top>
      <bottom style="thin">
        <color rgb="FFB0BEC5"/>
      </bottom>
      <diagonal/>
    </border>
    <border>
      <left/>
      <right/>
      <top style="thin">
        <color rgb="FFB0BEC5"/>
      </top>
      <bottom/>
      <diagonal/>
    </border>
    <border>
      <left/>
      <right style="thin">
        <color rgb="FFB0BEC5"/>
      </right>
      <top style="thin">
        <color rgb="FFB0BEC5"/>
      </top>
      <bottom/>
      <diagonal/>
    </border>
    <border>
      <left/>
      <right/>
      <top style="thin">
        <color rgb="FFB0BEC5"/>
      </top>
      <bottom style="thin">
        <color rgb="FFB0BEC5"/>
      </bottom>
      <diagonal/>
    </border>
    <border>
      <left/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top" wrapText="1"/>
    </xf>
    <xf numFmtId="0" fontId="7" fillId="2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8" fillId="0" borderId="3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3" fontId="9" fillId="0" borderId="2" applyAlignment="1" pivotButton="0" quotePrefix="0" xfId="0">
      <alignment horizontal="right" vertical="center"/>
    </xf>
    <xf numFmtId="164" fontId="10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" fontId="8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right" vertical="center"/>
    </xf>
    <xf numFmtId="165" fontId="10" fillId="0" borderId="2" applyAlignment="1" pivotButton="0" quotePrefix="0" xfId="0">
      <alignment horizontal="right" vertical="center"/>
    </xf>
    <xf numFmtId="1" fontId="8" fillId="4" borderId="2" applyAlignment="1" pivotButton="0" quotePrefix="0" xfId="0">
      <alignment horizontal="center" vertical="center"/>
    </xf>
    <xf numFmtId="9" fontId="10" fillId="0" borderId="2" applyAlignment="1" pivotButton="0" quotePrefix="0" xfId="0">
      <alignment horizontal="right" vertical="center"/>
    </xf>
    <xf numFmtId="1" fontId="9" fillId="0" borderId="2" applyAlignment="1" pivotButton="0" quotePrefix="0" xfId="0">
      <alignment horizontal="right" vertical="center"/>
    </xf>
    <xf numFmtId="166" fontId="9" fillId="0" borderId="2" applyAlignment="1" pivotButton="0" quotePrefix="0" xfId="0">
      <alignment horizontal="right" vertical="center"/>
    </xf>
    <xf numFmtId="10" fontId="9" fillId="0" borderId="2" applyAlignment="1" pivotButton="0" quotePrefix="0" xfId="0">
      <alignment horizontal="right" vertical="center"/>
    </xf>
    <xf numFmtId="2" fontId="10" fillId="0" borderId="2" applyAlignment="1" pivotButton="0" quotePrefix="0" xfId="0">
      <alignment horizontal="right" vertical="center"/>
    </xf>
    <xf numFmtId="1" fontId="10" fillId="0" borderId="2" applyAlignment="1" pivotButton="0" quotePrefix="0" xfId="0">
      <alignment horizontal="right" vertical="bottom"/>
    </xf>
    <xf numFmtId="2" fontId="10" fillId="4" borderId="2" applyAlignment="1" pivotButton="0" quotePrefix="0" xfId="0">
      <alignment horizontal="right" vertical="bottom"/>
    </xf>
    <xf numFmtId="2" fontId="10" fillId="0" borderId="2" applyAlignment="1" pivotButton="0" quotePrefix="0" xfId="0">
      <alignment horizontal="right" vertical="bottom"/>
    </xf>
    <xf numFmtId="164" fontId="10" fillId="4" borderId="2" applyAlignment="1" pivotButton="0" quotePrefix="0" xfId="0">
      <alignment horizontal="right" vertical="bottom"/>
    </xf>
    <xf numFmtId="167" fontId="10" fillId="4" borderId="2" applyAlignment="1" pivotButton="0" quotePrefix="0" xfId="0">
      <alignment horizontal="right" vertical="bottom"/>
    </xf>
    <xf numFmtId="166" fontId="10" fillId="0" borderId="2" applyAlignment="1" pivotButton="0" quotePrefix="0" xfId="0">
      <alignment horizontal="right" vertical="bottom"/>
    </xf>
    <xf numFmtId="166" fontId="12" fillId="6" borderId="2" applyAlignment="1" pivotButton="0" quotePrefix="0" xfId="0">
      <alignment horizontal="right" vertical="bottom"/>
    </xf>
    <xf numFmtId="164" fontId="12" fillId="6" borderId="2" applyAlignment="1" pivotButton="0" quotePrefix="0" xfId="0">
      <alignment horizontal="right" vertical="bottom"/>
    </xf>
    <xf numFmtId="1" fontId="10" fillId="0" borderId="2" applyAlignment="1" pivotButton="0" quotePrefix="0" xfId="0">
      <alignment horizontal="right" vertical="center"/>
    </xf>
    <xf numFmtId="168" fontId="10" fillId="0" borderId="2" applyAlignment="1" pivotButton="0" quotePrefix="0" xfId="0">
      <alignment horizontal="right" vertical="center"/>
    </xf>
    <xf numFmtId="0" fontId="9" fillId="0" borderId="2" applyAlignment="1" pivotButton="0" quotePrefix="0" xfId="0">
      <alignment horizontal="right" vertical="bottom"/>
    </xf>
    <xf numFmtId="1" fontId="10" fillId="4" borderId="2" applyAlignment="1" pivotButton="0" quotePrefix="0" xfId="0">
      <alignment horizontal="right" vertical="bottom"/>
    </xf>
    <xf numFmtId="166" fontId="10" fillId="5" borderId="2" applyAlignment="1" pivotButton="0" quotePrefix="0" xfId="0">
      <alignment horizontal="right" vertical="bottom"/>
    </xf>
    <xf numFmtId="166" fontId="10" fillId="4" borderId="2" applyAlignment="1" pivotButton="0" quotePrefix="0" xfId="0">
      <alignment horizontal="right" vertical="bottom"/>
    </xf>
    <xf numFmtId="1" fontId="10" fillId="5" borderId="2" applyAlignment="1" pivotButton="0" quotePrefix="0" xfId="0">
      <alignment horizontal="right" vertical="bottom"/>
    </xf>
    <xf numFmtId="168" fontId="10" fillId="0" borderId="2" applyAlignment="1" pivotButton="0" quotePrefix="0" xfId="0">
      <alignment horizontal="right" vertical="bottom"/>
    </xf>
    <xf numFmtId="164" fontId="10" fillId="0" borderId="2" applyAlignment="1" pivotButton="0" quotePrefix="0" xfId="0">
      <alignment horizontal="right" vertical="bottom"/>
    </xf>
    <xf numFmtId="3" fontId="10" fillId="0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center" vertical="center"/>
    </xf>
    <xf numFmtId="3" fontId="9" fillId="4" borderId="2" applyAlignment="1" pivotButton="0" quotePrefix="0" xfId="0">
      <alignment horizontal="right" vertical="center"/>
    </xf>
    <xf numFmtId="1" fontId="8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right" vertical="center"/>
    </xf>
    <xf numFmtId="0" fontId="13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right" vertical="center"/>
    </xf>
    <xf numFmtId="166" fontId="10" fillId="0" borderId="2" applyAlignment="1" pivotButton="0" quotePrefix="0" xfId="0">
      <alignment horizontal="right" vertical="center"/>
    </xf>
    <xf numFmtId="9" fontId="9" fillId="0" borderId="2" applyAlignment="1" pivotButton="0" quotePrefix="0" xfId="0">
      <alignment horizontal="right" vertical="center"/>
    </xf>
    <xf numFmtId="3" fontId="10" fillId="0" borderId="2" applyAlignment="1" pivotButton="0" quotePrefix="0" xfId="0">
      <alignment horizontal="right" vertical="bottom"/>
    </xf>
    <xf numFmtId="164" fontId="10" fillId="6" borderId="2" applyAlignment="1" pivotButton="0" quotePrefix="0" xfId="0">
      <alignment horizontal="right" vertical="bottom"/>
    </xf>
    <xf numFmtId="166" fontId="9" fillId="0" borderId="2" applyAlignment="1" pivotButton="0" quotePrefix="0" xfId="0">
      <alignment horizontal="right" vertical="bottom"/>
    </xf>
    <xf numFmtId="0" fontId="8" fillId="6" borderId="2" applyAlignment="1" pivotButton="0" quotePrefix="0" xfId="0">
      <alignment horizontal="left" vertical="center"/>
    </xf>
    <xf numFmtId="166" fontId="9" fillId="6" borderId="2" applyAlignment="1" pivotButton="0" quotePrefix="0" xfId="0">
      <alignment horizontal="right" vertical="bottom"/>
    </xf>
    <xf numFmtId="9" fontId="9" fillId="0" borderId="2" applyAlignment="1" pivotButton="0" quotePrefix="0" xfId="0">
      <alignment horizontal="right" vertical="bottom"/>
    </xf>
    <xf numFmtId="1" fontId="9" fillId="4" borderId="2" applyAlignment="1" pivotButton="0" quotePrefix="0" xfId="0">
      <alignment horizontal="right" vertical="bottom"/>
    </xf>
    <xf numFmtId="1" fontId="9" fillId="0" borderId="2" applyAlignment="1" pivotButton="0" quotePrefix="0" xfId="0">
      <alignment horizontal="right" vertical="bottom"/>
    </xf>
    <xf numFmtId="9" fontId="9" fillId="6" borderId="2" applyAlignment="1" pivotButton="0" quotePrefix="0" xfId="0">
      <alignment horizontal="right" vertical="bottom"/>
    </xf>
    <xf numFmtId="9" fontId="9" fillId="4" borderId="2" applyAlignment="1" pivotButton="0" quotePrefix="0" xfId="0">
      <alignment horizontal="right" vertical="bottom"/>
    </xf>
    <xf numFmtId="0" fontId="10" fillId="0" borderId="2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164" fontId="12" fillId="5" borderId="2" applyAlignment="1" pivotButton="0" quotePrefix="0" xfId="0">
      <alignment horizontal="right" vertical="bottom"/>
    </xf>
    <xf numFmtId="0" fontId="8" fillId="8" borderId="2" applyAlignment="1" pivotButton="0" quotePrefix="0" xfId="0">
      <alignment horizontal="center" vertical="center"/>
    </xf>
    <xf numFmtId="164" fontId="15" fillId="0" borderId="2" applyAlignment="1" pivotButton="0" quotePrefix="0" xfId="0">
      <alignment horizontal="right" vertical="bottom"/>
    </xf>
    <xf numFmtId="0" fontId="8" fillId="4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164" fontId="16" fillId="6" borderId="2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wrapText="1"/>
    </xf>
    <xf numFmtId="9" fontId="9" fillId="7" borderId="2" applyAlignment="1" pivotButton="0" quotePrefix="0" xfId="0">
      <alignment horizontal="right" vertical="center"/>
    </xf>
    <xf numFmtId="9" fontId="9" fillId="8" borderId="2" applyAlignment="1" pivotButton="0" quotePrefix="0" xfId="0">
      <alignment horizontal="right" vertical="center"/>
    </xf>
    <xf numFmtId="9" fontId="9" fillId="4" borderId="2" applyAlignment="1" pivotButton="0" quotePrefix="0" xfId="0">
      <alignment horizontal="right" vertical="center"/>
    </xf>
    <xf numFmtId="3" fontId="12" fillId="5" borderId="2" applyAlignment="1" pivotButton="0" quotePrefix="0" xfId="0">
      <alignment horizontal="right" vertical="bottom"/>
    </xf>
    <xf numFmtId="164" fontId="9" fillId="7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/>
    </xf>
    <xf numFmtId="164" fontId="10" fillId="4" borderId="2" applyAlignment="1" pivotButton="0" quotePrefix="0" xfId="0">
      <alignment horizontal="right" vertical="center"/>
    </xf>
    <xf numFmtId="10" fontId="9" fillId="4" borderId="2" applyAlignment="1" pivotButton="0" quotePrefix="0" xfId="0">
      <alignment horizontal="right" vertical="center"/>
    </xf>
    <xf numFmtId="166" fontId="9" fillId="4" borderId="2" applyAlignment="1" pivotButton="0" quotePrefix="0" xfId="0">
      <alignment horizontal="right" vertical="center"/>
    </xf>
    <xf numFmtId="0" fontId="10" fillId="4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right" vertical="center"/>
    </xf>
    <xf numFmtId="164" fontId="10" fillId="5" borderId="2" applyAlignment="1" pivotButton="0" quotePrefix="0" xfId="0">
      <alignment horizontal="right" vertical="bottom"/>
    </xf>
    <xf numFmtId="2" fontId="10" fillId="5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0" fontId="0" fillId="0" borderId="1" pivotButton="0" quotePrefix="0" xfId="0"/>
    <xf numFmtId="0" fontId="6" fillId="4" borderId="0" applyAlignment="1" pivotButton="0" quotePrefix="0" xfId="0">
      <alignment horizontal="general" vertical="top" wrapText="1"/>
    </xf>
    <xf numFmtId="0" fontId="7" fillId="2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7" fillId="3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8" fillId="0" borderId="3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/>
    </xf>
    <xf numFmtId="3" fontId="9" fillId="0" borderId="2" applyAlignment="1" pivotButton="0" quotePrefix="0" xfId="0">
      <alignment horizontal="right" vertical="center"/>
    </xf>
    <xf numFmtId="164" fontId="10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" fontId="8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right" vertical="center"/>
    </xf>
    <xf numFmtId="165" fontId="10" fillId="0" borderId="2" applyAlignment="1" pivotButton="0" quotePrefix="0" xfId="0">
      <alignment horizontal="right" vertical="center"/>
    </xf>
    <xf numFmtId="1" fontId="8" fillId="4" borderId="2" applyAlignment="1" pivotButton="0" quotePrefix="0" xfId="0">
      <alignment horizontal="center" vertical="center"/>
    </xf>
    <xf numFmtId="9" fontId="10" fillId="0" borderId="2" applyAlignment="1" pivotButton="0" quotePrefix="0" xfId="0">
      <alignment horizontal="right" vertical="center"/>
    </xf>
    <xf numFmtId="1" fontId="9" fillId="0" borderId="2" applyAlignment="1" pivotButton="0" quotePrefix="0" xfId="0">
      <alignment horizontal="right" vertical="center"/>
    </xf>
    <xf numFmtId="166" fontId="9" fillId="0" borderId="2" applyAlignment="1" pivotButton="0" quotePrefix="0" xfId="0">
      <alignment horizontal="right" vertical="center"/>
    </xf>
    <xf numFmtId="10" fontId="9" fillId="0" borderId="2" applyAlignment="1" pivotButton="0" quotePrefix="0" xfId="0">
      <alignment horizontal="right" vertical="center"/>
    </xf>
    <xf numFmtId="2" fontId="10" fillId="0" borderId="2" applyAlignment="1" pivotButton="0" quotePrefix="0" xfId="0">
      <alignment horizontal="right" vertical="center"/>
    </xf>
    <xf numFmtId="1" fontId="10" fillId="0" borderId="2" applyAlignment="1" pivotButton="0" quotePrefix="0" xfId="0">
      <alignment horizontal="right" vertical="bottom"/>
    </xf>
    <xf numFmtId="2" fontId="10" fillId="4" borderId="2" applyAlignment="1" pivotButton="0" quotePrefix="0" xfId="0">
      <alignment horizontal="right" vertical="bottom"/>
    </xf>
    <xf numFmtId="2" fontId="10" fillId="0" borderId="2" applyAlignment="1" pivotButton="0" quotePrefix="0" xfId="0">
      <alignment horizontal="right" vertical="bottom"/>
    </xf>
    <xf numFmtId="164" fontId="10" fillId="4" borderId="2" applyAlignment="1" pivotButton="0" quotePrefix="0" xfId="0">
      <alignment horizontal="right" vertical="bottom"/>
    </xf>
    <xf numFmtId="167" fontId="10" fillId="4" borderId="2" applyAlignment="1" pivotButton="0" quotePrefix="0" xfId="0">
      <alignment horizontal="right" vertical="bottom"/>
    </xf>
    <xf numFmtId="166" fontId="10" fillId="0" borderId="2" applyAlignment="1" pivotButton="0" quotePrefix="0" xfId="0">
      <alignment horizontal="right" vertical="bottom"/>
    </xf>
    <xf numFmtId="166" fontId="12" fillId="6" borderId="2" applyAlignment="1" pivotButton="0" quotePrefix="0" xfId="0">
      <alignment horizontal="right" vertical="bottom"/>
    </xf>
    <xf numFmtId="164" fontId="12" fillId="6" borderId="2" applyAlignment="1" pivotButton="0" quotePrefix="0" xfId="0">
      <alignment horizontal="right" vertical="bottom"/>
    </xf>
    <xf numFmtId="1" fontId="10" fillId="0" borderId="2" applyAlignment="1" pivotButton="0" quotePrefix="0" xfId="0">
      <alignment horizontal="right" vertical="center"/>
    </xf>
    <xf numFmtId="168" fontId="10" fillId="0" borderId="2" applyAlignment="1" pivotButton="0" quotePrefix="0" xfId="0">
      <alignment horizontal="right" vertical="center"/>
    </xf>
    <xf numFmtId="0" fontId="9" fillId="0" borderId="2" applyAlignment="1" pivotButton="0" quotePrefix="0" xfId="0">
      <alignment horizontal="right" vertical="bottom"/>
    </xf>
    <xf numFmtId="1" fontId="10" fillId="4" borderId="2" applyAlignment="1" pivotButton="0" quotePrefix="0" xfId="0">
      <alignment horizontal="right" vertical="bottom"/>
    </xf>
    <xf numFmtId="166" fontId="10" fillId="5" borderId="2" applyAlignment="1" pivotButton="0" quotePrefix="0" xfId="0">
      <alignment horizontal="right" vertical="bottom"/>
    </xf>
    <xf numFmtId="166" fontId="10" fillId="4" borderId="2" applyAlignment="1" pivotButton="0" quotePrefix="0" xfId="0">
      <alignment horizontal="right" vertical="bottom"/>
    </xf>
    <xf numFmtId="1" fontId="10" fillId="5" borderId="2" applyAlignment="1" pivotButton="0" quotePrefix="0" xfId="0">
      <alignment horizontal="right" vertical="bottom"/>
    </xf>
    <xf numFmtId="168" fontId="10" fillId="0" borderId="2" applyAlignment="1" pivotButton="0" quotePrefix="0" xfId="0">
      <alignment horizontal="right" vertical="bottom"/>
    </xf>
    <xf numFmtId="164" fontId="10" fillId="0" borderId="2" applyAlignment="1" pivotButton="0" quotePrefix="0" xfId="0">
      <alignment horizontal="right" vertical="bottom"/>
    </xf>
    <xf numFmtId="3" fontId="10" fillId="0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center" vertical="center"/>
    </xf>
    <xf numFmtId="3" fontId="9" fillId="4" borderId="2" applyAlignment="1" pivotButton="0" quotePrefix="0" xfId="0">
      <alignment horizontal="right" vertical="center"/>
    </xf>
    <xf numFmtId="1" fontId="8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right" vertical="center"/>
    </xf>
    <xf numFmtId="0" fontId="13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right" vertical="center"/>
    </xf>
    <xf numFmtId="166" fontId="10" fillId="0" borderId="2" applyAlignment="1" pivotButton="0" quotePrefix="0" xfId="0">
      <alignment horizontal="right" vertical="center"/>
    </xf>
    <xf numFmtId="9" fontId="9" fillId="0" borderId="2" applyAlignment="1" pivotButton="0" quotePrefix="0" xfId="0">
      <alignment horizontal="right" vertical="center"/>
    </xf>
    <xf numFmtId="3" fontId="10" fillId="0" borderId="2" applyAlignment="1" pivotButton="0" quotePrefix="0" xfId="0">
      <alignment horizontal="right" vertical="bottom"/>
    </xf>
    <xf numFmtId="164" fontId="10" fillId="6" borderId="2" applyAlignment="1" pivotButton="0" quotePrefix="0" xfId="0">
      <alignment horizontal="right" vertical="bottom"/>
    </xf>
    <xf numFmtId="166" fontId="9" fillId="0" borderId="2" applyAlignment="1" pivotButton="0" quotePrefix="0" xfId="0">
      <alignment horizontal="right" vertical="bottom"/>
    </xf>
    <xf numFmtId="0" fontId="8" fillId="6" borderId="2" applyAlignment="1" pivotButton="0" quotePrefix="0" xfId="0">
      <alignment horizontal="left" vertical="center"/>
    </xf>
    <xf numFmtId="166" fontId="9" fillId="6" borderId="2" applyAlignment="1" pivotButton="0" quotePrefix="0" xfId="0">
      <alignment horizontal="right" vertical="bottom"/>
    </xf>
    <xf numFmtId="9" fontId="9" fillId="0" borderId="2" applyAlignment="1" pivotButton="0" quotePrefix="0" xfId="0">
      <alignment horizontal="right" vertical="bottom"/>
    </xf>
    <xf numFmtId="1" fontId="9" fillId="4" borderId="2" applyAlignment="1" pivotButton="0" quotePrefix="0" xfId="0">
      <alignment horizontal="right" vertical="bottom"/>
    </xf>
    <xf numFmtId="1" fontId="9" fillId="0" borderId="2" applyAlignment="1" pivotButton="0" quotePrefix="0" xfId="0">
      <alignment horizontal="right" vertical="bottom"/>
    </xf>
    <xf numFmtId="9" fontId="9" fillId="6" borderId="2" applyAlignment="1" pivotButton="0" quotePrefix="0" xfId="0">
      <alignment horizontal="right" vertical="bottom"/>
    </xf>
    <xf numFmtId="9" fontId="9" fillId="4" borderId="2" applyAlignment="1" pivotButton="0" quotePrefix="0" xfId="0">
      <alignment horizontal="right" vertical="bottom"/>
    </xf>
    <xf numFmtId="0" fontId="10" fillId="0" borderId="2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164" fontId="12" fillId="5" borderId="2" applyAlignment="1" pivotButton="0" quotePrefix="0" xfId="0">
      <alignment horizontal="right" vertical="bottom"/>
    </xf>
    <xf numFmtId="0" fontId="8" fillId="8" borderId="2" applyAlignment="1" pivotButton="0" quotePrefix="0" xfId="0">
      <alignment horizontal="center" vertical="center"/>
    </xf>
    <xf numFmtId="164" fontId="15" fillId="0" borderId="2" applyAlignment="1" pivotButton="0" quotePrefix="0" xfId="0">
      <alignment horizontal="right" vertical="bottom"/>
    </xf>
    <xf numFmtId="0" fontId="8" fillId="4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164" fontId="16" fillId="6" borderId="2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wrapText="1"/>
    </xf>
    <xf numFmtId="9" fontId="9" fillId="7" borderId="2" applyAlignment="1" pivotButton="0" quotePrefix="0" xfId="0">
      <alignment horizontal="right" vertical="center"/>
    </xf>
    <xf numFmtId="9" fontId="9" fillId="8" borderId="2" applyAlignment="1" pivotButton="0" quotePrefix="0" xfId="0">
      <alignment horizontal="right" vertical="center"/>
    </xf>
    <xf numFmtId="9" fontId="9" fillId="4" borderId="2" applyAlignment="1" pivotButton="0" quotePrefix="0" xfId="0">
      <alignment horizontal="right" vertical="center"/>
    </xf>
    <xf numFmtId="3" fontId="12" fillId="5" borderId="2" applyAlignment="1" pivotButton="0" quotePrefix="0" xfId="0">
      <alignment horizontal="right" vertical="bottom"/>
    </xf>
    <xf numFmtId="164" fontId="9" fillId="7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/>
    </xf>
    <xf numFmtId="164" fontId="10" fillId="4" borderId="2" applyAlignment="1" pivotButton="0" quotePrefix="0" xfId="0">
      <alignment horizontal="right" vertical="center"/>
    </xf>
    <xf numFmtId="10" fontId="9" fillId="4" borderId="2" applyAlignment="1" pivotButton="0" quotePrefix="0" xfId="0">
      <alignment horizontal="right" vertical="center"/>
    </xf>
    <xf numFmtId="166" fontId="9" fillId="4" borderId="2" applyAlignment="1" pivotButton="0" quotePrefix="0" xfId="0">
      <alignment horizontal="right" vertical="center"/>
    </xf>
    <xf numFmtId="0" fontId="10" fillId="4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right" vertical="center"/>
    </xf>
    <xf numFmtId="164" fontId="10" fillId="5" borderId="2" applyAlignment="1" pivotButton="0" quotePrefix="0" xfId="0">
      <alignment horizontal="right" vertical="bottom"/>
    </xf>
    <xf numFmtId="2" fontId="10" fillId="5" borderId="2" applyAlignment="1" pivotButton="0" quotePrefix="0" xfId="0">
      <alignment horizontal="right" vertical="bottom"/>
    </xf>
    <xf numFmtId="0" fontId="17" fillId="0" borderId="0" pivotButton="0" quotePrefix="0" xfId="0"/>
    <xf numFmtId="0" fontId="18" fillId="0" borderId="0" pivotButton="0" quotePrefix="0" xfId="0"/>
    <xf numFmtId="0" fontId="19" fillId="9" borderId="0" applyAlignment="1" pivotButton="0" quotePrefix="0" xfId="0">
      <alignment horizontal="center" vertical="center"/>
    </xf>
    <xf numFmtId="0" fontId="20" fillId="10" borderId="0" pivotButton="0" quotePrefix="0" xfId="0"/>
    <xf numFmtId="0" fontId="21" fillId="10" borderId="0" pivotButton="0" quotePrefix="0" xfId="0"/>
    <xf numFmtId="0" fontId="22" fillId="10" borderId="0" pivotButton="0" quotePrefix="0" xfId="0"/>
    <xf numFmtId="0" fontId="20" fillId="11" borderId="0" pivotButton="0" quotePrefix="0" xfId="0"/>
    <xf numFmtId="0" fontId="21" fillId="11" borderId="0" pivotButton="0" quotePrefix="0" xfId="0"/>
    <xf numFmtId="0" fontId="22" fillId="11" borderId="0" pivotButton="0" quotePrefix="0" xfId="0"/>
    <xf numFmtId="0" fontId="23" fillId="10" borderId="0" pivotButton="0" quotePrefix="0" xfId="0"/>
    <xf numFmtId="0" fontId="23" fillId="11" borderId="0" pivotButton="0" quotePrefix="0" xfId="0"/>
    <xf numFmtId="0" fontId="24" fillId="10" borderId="0" pivotButton="0" quotePrefix="0" xfId="0"/>
    <xf numFmtId="0" fontId="21" fillId="10" borderId="0" applyAlignment="1" pivotButton="0" quotePrefix="0" xfId="0">
      <alignment vertical="top" wrapText="1"/>
    </xf>
    <xf numFmtId="0" fontId="24" fillId="11" borderId="0" pivotButton="0" quotePrefix="0" xfId="0"/>
    <xf numFmtId="0" fontId="21" fillId="11" borderId="0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19" fillId="12" borderId="0" applyAlignment="1" pivotButton="0" quotePrefix="0" xfId="0">
      <alignment horizontal="center" vertical="center"/>
    </xf>
    <xf numFmtId="0" fontId="23" fillId="10" borderId="0" applyAlignment="1" pivotButton="0" quotePrefix="0" xfId="0">
      <alignment vertical="top" wrapText="1"/>
    </xf>
    <xf numFmtId="0" fontId="23" fillId="11" borderId="0" applyAlignment="1" pivotButton="0" quotePrefix="0" xfId="0">
      <alignment vertical="top" wrapText="1"/>
    </xf>
    <xf numFmtId="0" fontId="26" fillId="0" borderId="0" pivotButton="0" quotePrefix="0" xfId="0"/>
    <xf numFmtId="0" fontId="27" fillId="0" borderId="0" pivotButton="0" quotePrefix="0" xfId="0"/>
    <xf numFmtId="0" fontId="19" fillId="12" borderId="0" pivotButton="0" quotePrefix="0" xfId="0"/>
    <xf numFmtId="0" fontId="28" fillId="0" borderId="0" applyAlignment="1" pivotButton="0" quotePrefix="0" xfId="0">
      <alignment vertical="top" wrapText="1"/>
    </xf>
    <xf numFmtId="0" fontId="29" fillId="12" borderId="0" applyAlignment="1" pivotButton="0" quotePrefix="0" xfId="0">
      <alignment horizontal="center" vertical="center"/>
    </xf>
    <xf numFmtId="0" fontId="30" fillId="9" borderId="0" applyAlignment="1" pivotButton="0" quotePrefix="0" xfId="0">
      <alignment horizontal="left" vertical="center"/>
    </xf>
    <xf numFmtId="0" fontId="31" fillId="13" borderId="0" applyAlignment="1" pivotButton="0" quotePrefix="0" xfId="0">
      <alignment horizontal="left" vertical="center"/>
    </xf>
    <xf numFmtId="0" fontId="32" fillId="12" borderId="0" applyAlignment="1" pivotButton="0" quotePrefix="0" xfId="0">
      <alignment horizontal="left" vertical="center"/>
    </xf>
    <xf numFmtId="0" fontId="33" fillId="9" borderId="0" applyAlignment="1" pivotButton="0" quotePrefix="0" xfId="0">
      <alignment horizontal="left" vertical="center"/>
    </xf>
    <xf numFmtId="0" fontId="34" fillId="14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top" wrapText="1"/>
    </xf>
    <xf numFmtId="0" fontId="35" fillId="0" borderId="0" applyAlignment="1" pivotButton="0" quotePrefix="0" xfId="0">
      <alignment horizontal="left" vertical="center"/>
    </xf>
    <xf numFmtId="0" fontId="36" fillId="13" borderId="0" applyAlignment="1" pivotButton="0" quotePrefix="0" xfId="0">
      <alignment horizontal="left" vertical="center"/>
    </xf>
    <xf numFmtId="0" fontId="35" fillId="15" borderId="0" applyAlignment="1" pivotButton="0" quotePrefix="0" xfId="0">
      <alignment horizontal="left" vertical="top" wrapText="1"/>
    </xf>
    <xf numFmtId="0" fontId="37" fillId="0" borderId="0" applyAlignment="1" pivotButton="0" quotePrefix="0" xfId="0">
      <alignment horizontal="left" vertical="center"/>
    </xf>
    <xf numFmtId="0" fontId="35" fillId="13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EC5"/>
      <rgbColor rgb="FF808080"/>
      <rgbColor rgb="FF9999FF"/>
      <rgbColor rgb="FF993366"/>
      <rgbColor rgb="FFFFF3CC"/>
      <rgbColor rgb="FFEEF3F8"/>
      <rgbColor rgb="FF660066"/>
      <rgbColor rgb="FFFF8080"/>
      <rgbColor rgb="FF1E6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DED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1F3C"/>
      <rgbColor rgb="FF2E8B57"/>
      <rgbColor rgb="FF003300"/>
      <rgbColor rgb="FF222222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5486400" cy="273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31</row>
      <rowOff>0</rowOff>
    </from>
    <ext cx="4619625" cy="2619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57</row>
      <rowOff>0</rowOff>
    </from>
    <ext cx="5038725" cy="2705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83</row>
      <rowOff>0</rowOff>
    </from>
    <ext cx="5076825" cy="2705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109</row>
      <rowOff>0</rowOff>
    </from>
    <ext cx="4095750" cy="24669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134</row>
      <rowOff>0</rowOff>
    </from>
    <ext cx="5715000" cy="31718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164</row>
      <rowOff>0</rowOff>
    </from>
    <ext cx="4171950" cy="24669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" customWidth="1" style="90" min="1" max="1"/>
    <col width="28" customWidth="1" style="90" min="2" max="2"/>
    <col width="22" customWidth="1" style="90" min="3" max="3"/>
    <col width="32" customWidth="1" style="90" min="4" max="4"/>
    <col width="16" customWidth="1" style="90" min="5" max="5"/>
    <col width="22" customWidth="1" style="90" min="6" max="6"/>
    <col width="38" customWidth="1" style="90" min="7" max="7"/>
  </cols>
  <sheetData>
    <row r="1">
      <c r="A1" s="203" t="inlineStr">
        <is>
          <t>SHORT MEMO 05 — Biotech &amp; Life Sciences</t>
        </is>
      </c>
    </row>
    <row r="2">
      <c r="A2" s="183" t="inlineStr">
        <is>
          <t>Assumptions &amp; Data Sources — Full Audit Trail</t>
        </is>
      </c>
    </row>
    <row r="3">
      <c r="A3" s="199" t="inlineStr">
        <is>
          <t>Colour coding: BLUE = hardcoded input  |  BLACK = formula output  |  GREEN = cross-sheet link</t>
        </is>
      </c>
    </row>
    <row r="4"/>
    <row r="5">
      <c r="A5" s="204" t="inlineStr">
        <is>
          <t>DATA SOURCES</t>
        </is>
      </c>
    </row>
    <row r="6">
      <c r="A6" s="205" t="inlineStr">
        <is>
          <t>#</t>
        </is>
      </c>
      <c r="B6" s="205" t="inlineStr">
        <is>
          <t>Series / Variable</t>
        </is>
      </c>
      <c r="C6" s="205" t="inlineStr">
        <is>
          <t>Source</t>
        </is>
      </c>
      <c r="D6" s="205" t="inlineStr">
        <is>
          <t>Specific Reference</t>
        </is>
      </c>
      <c r="E6" s="205" t="inlineStr">
        <is>
          <t>Date Range</t>
        </is>
      </c>
      <c r="F6" s="205" t="inlineStr">
        <is>
          <t>Frequency</t>
        </is>
      </c>
      <c r="G6" s="205" t="inlineStr">
        <is>
          <t>Notes</t>
        </is>
      </c>
    </row>
    <row r="7">
      <c r="A7" s="191" t="n">
        <v>1</v>
      </c>
      <c r="B7" s="191" t="inlineStr">
        <is>
          <t>XBI NTM EV/Sales</t>
        </is>
      </c>
      <c r="C7" s="186" t="inlineStr">
        <is>
          <t>FactSet</t>
        </is>
      </c>
      <c r="D7" s="186" t="inlineStr">
        <is>
          <t>FactSet Consensus — SPDR S&amp;P Biotech ETF NTM EV/Sales composite</t>
        </is>
      </c>
      <c r="E7" s="191" t="inlineStr">
        <is>
          <t>2014–2025</t>
        </is>
      </c>
      <c r="F7" s="191" t="inlineStr">
        <is>
          <t>Annual avg</t>
        </is>
      </c>
      <c r="G7" s="201" t="inlineStr">
        <is>
          <t>XBI equal-weight methodology; NTM = next-twelve-month</t>
        </is>
      </c>
    </row>
    <row r="8">
      <c r="A8" s="192" t="n">
        <v>2</v>
      </c>
      <c r="B8" s="192" t="inlineStr">
        <is>
          <t>UST 10yr rate</t>
        </is>
      </c>
      <c r="C8" s="189" t="inlineStr">
        <is>
          <t>FRED / Bloomberg</t>
        </is>
      </c>
      <c r="D8" s="189" t="inlineStr">
        <is>
          <t>US10Y Index (Bloomberg) or DGS10 (FRED) — constant maturity</t>
        </is>
      </c>
      <c r="E8" s="192" t="inlineStr">
        <is>
          <t>2014–2025</t>
        </is>
      </c>
      <c r="F8" s="192" t="inlineStr">
        <is>
          <t>Annual avg</t>
        </is>
      </c>
      <c r="G8" s="202" t="inlineStr">
        <is>
          <t>End-of-year values used in regression</t>
        </is>
      </c>
    </row>
    <row r="9">
      <c r="A9" s="191" t="n">
        <v>3</v>
      </c>
      <c r="B9" s="191" t="inlineStr">
        <is>
          <t>XBI price history</t>
        </is>
      </c>
      <c r="C9" s="186" t="inlineStr">
        <is>
          <t>Bloomberg</t>
        </is>
      </c>
      <c r="D9" s="186" t="inlineStr">
        <is>
          <t>XBI US Equity — adjusted close price</t>
        </is>
      </c>
      <c r="E9" s="191" t="inlineStr">
        <is>
          <t>2014–2025</t>
        </is>
      </c>
      <c r="F9" s="191" t="inlineStr">
        <is>
          <t>Daily (annual in model)</t>
        </is>
      </c>
      <c r="G9" s="201" t="inlineStr">
        <is>
          <t>SPDR S&amp;P Biotech ETF</t>
        </is>
      </c>
    </row>
    <row r="10">
      <c r="A10" s="192" t="n">
        <v>4</v>
      </c>
      <c r="B10" s="192" t="inlineStr">
        <is>
          <t>FDA novel drug approvals</t>
        </is>
      </c>
      <c r="C10" s="189" t="inlineStr">
        <is>
          <t>FDA</t>
        </is>
      </c>
      <c r="D10" s="189" t="inlineStr">
        <is>
          <t>FDA CDER Novel Drug Approvals data (public database)</t>
        </is>
      </c>
      <c r="E10" s="192" t="inlineStr">
        <is>
          <t>2000–2024</t>
        </is>
      </c>
      <c r="F10" s="192" t="inlineStr">
        <is>
          <t>Annual</t>
        </is>
      </c>
      <c r="G10" s="202" t="inlineStr">
        <is>
          <t>NME + NDA novel approvals; BLA novel biologics</t>
        </is>
      </c>
    </row>
    <row r="11">
      <c r="A11" s="191" t="n">
        <v>5</v>
      </c>
      <c r="B11" s="191" t="inlineStr">
        <is>
          <t>Clinical trial success rates</t>
        </is>
      </c>
      <c r="C11" s="186" t="inlineStr">
        <is>
          <t>BIO/Citeline</t>
        </is>
      </c>
      <c r="D11" s="186" t="inlineStr">
        <is>
          <t>Clinical Development Success Rates and Contributing Factors 2011–2020 (2021 edition)</t>
        </is>
      </c>
      <c r="E11" s="191" t="inlineStr">
        <is>
          <t>2011–2020</t>
        </is>
      </c>
      <c r="F11" s="191" t="inlineStr">
        <is>
          <t>Cohort</t>
        </is>
      </c>
      <c r="G11" s="201" t="inlineStr">
        <is>
          <t>Phase 1 entry through NDA approval; by indication</t>
        </is>
      </c>
    </row>
    <row r="12">
      <c r="A12" s="192" t="n">
        <v>6</v>
      </c>
      <c r="B12" s="192" t="inlineStr">
        <is>
          <t>M&amp;A deal data</t>
        </is>
      </c>
      <c r="C12" s="189" t="inlineStr">
        <is>
          <t>Bloomberg / Evaluate Pharma</t>
        </is>
      </c>
      <c r="D12" s="189" t="inlineStr">
        <is>
          <t>Bloomberg LEAG screens + Evaluate Pharma deal tracker</t>
        </is>
      </c>
      <c r="E12" s="192" t="inlineStr">
        <is>
          <t>2018–2025</t>
        </is>
      </c>
      <c r="F12" s="192" t="inlineStr">
        <is>
          <t>Individual deals</t>
        </is>
      </c>
      <c r="G12" s="202" t="inlineStr">
        <is>
          <t>Premium = (deal value / 30d VWAP) - 1</t>
        </is>
      </c>
    </row>
    <row r="13">
      <c r="A13" s="191" t="n">
        <v>7</v>
      </c>
      <c r="B13" s="191" t="inlineStr">
        <is>
          <t>Patent cliff estimates</t>
        </is>
      </c>
      <c r="C13" s="186" t="inlineStr">
        <is>
          <t>Company filings / FactSet</t>
        </is>
      </c>
      <c r="D13" s="186" t="inlineStr">
        <is>
          <t>Company 10-K risk factors + FactSet consensus model</t>
        </is>
      </c>
      <c r="E13" s="191" t="inlineStr">
        <is>
          <t>2023–2030</t>
        </is>
      </c>
      <c r="F13" s="191" t="inlineStr">
        <is>
          <t>Annual</t>
        </is>
      </c>
      <c r="G13" s="201" t="inlineStr">
        <is>
          <t>Revenue at risk from LOE (loss of exclusivity)</t>
        </is>
      </c>
    </row>
    <row r="14">
      <c r="A14" s="192" t="n">
        <v>8</v>
      </c>
      <c r="B14" s="192" t="inlineStr">
        <is>
          <t>Large-cap pharma M&amp;A budget</t>
        </is>
      </c>
      <c r="C14" s="189" t="inlineStr">
        <is>
          <t>Morgan Stanley / Goldman Sachs</t>
        </is>
      </c>
      <c r="D14" s="189" t="inlineStr">
        <is>
          <t>MS Healthcare Research: 'Pharma M&amp;A: The Pressure Builds', Jan 2026</t>
        </is>
      </c>
      <c r="E14" s="192" t="inlineStr">
        <is>
          <t>2025–2027E</t>
        </is>
      </c>
      <c r="F14" s="192" t="inlineStr">
        <is>
          <t>Annual</t>
        </is>
      </c>
      <c r="G14" s="202" t="inlineStr">
        <is>
          <t>Net leverage capacity to deploy on acquisitions</t>
        </is>
      </c>
    </row>
    <row r="15"/>
    <row r="16">
      <c r="A16" s="204" t="inlineStr">
        <is>
          <t>KEY ASSUMPTIONS</t>
        </is>
      </c>
    </row>
    <row r="17">
      <c r="A17" s="205" t="inlineStr">
        <is>
          <t>#</t>
        </is>
      </c>
      <c r="B17" s="205" t="inlineStr">
        <is>
          <t>Assumption</t>
        </is>
      </c>
      <c r="C17" s="205" t="inlineStr">
        <is>
          <t>Value Used</t>
        </is>
      </c>
      <c r="D17" s="205" t="inlineStr">
        <is>
          <t>Rationale / Source</t>
        </is>
      </c>
      <c r="E17" s="205" t="inlineStr">
        <is>
          <t>Sensitivity</t>
        </is>
      </c>
      <c r="F17" s="205" t="inlineStr">
        <is>
          <t>Alternative View</t>
        </is>
      </c>
    </row>
    <row r="18">
      <c r="A18" s="191" t="n">
        <v>1</v>
      </c>
      <c r="B18" s="191" t="inlineStr">
        <is>
          <t>XBI entry EV/Sales</t>
        </is>
      </c>
      <c r="C18" s="186" t="inlineStr">
        <is>
          <t>5.5x</t>
        </is>
      </c>
      <c r="D18" s="201" t="inlineStr">
        <is>
          <t>FactSet NTM EV/Sales as at Q1 2026</t>
        </is>
      </c>
      <c r="E18" s="191" t="inlineStr">
        <is>
          <t>±0.3x</t>
        </is>
      </c>
      <c r="F18" s="201" t="inlineStr">
        <is>
          <t>Portfolio composition drift is key</t>
        </is>
      </c>
    </row>
    <row r="19">
      <c r="A19" s="192" t="n">
        <v>2</v>
      </c>
      <c r="B19" s="192" t="inlineStr">
        <is>
          <t>XBI revenue growth (base)</t>
        </is>
      </c>
      <c r="C19" s="189" t="inlineStr">
        <is>
          <t>12%</t>
        </is>
      </c>
      <c r="D19" s="202" t="inlineStr">
        <is>
          <t>FactSet consensus 2026E for XBI composite companies</t>
        </is>
      </c>
      <c r="E19" s="192" t="inlineStr">
        <is>
          <t>8–18% range</t>
        </is>
      </c>
      <c r="F19" s="202" t="inlineStr">
        <is>
          <t>Stage mix changes as companies mature</t>
        </is>
      </c>
    </row>
    <row r="20">
      <c r="A20" s="191" t="n">
        <v>3</v>
      </c>
      <c r="B20" s="191" t="inlineStr">
        <is>
          <t>Current UST 10yr</t>
        </is>
      </c>
      <c r="C20" s="186" t="inlineStr">
        <is>
          <t>4.28%</t>
        </is>
      </c>
      <c r="D20" s="201" t="inlineStr">
        <is>
          <t>US 10yr constant maturity Treasury, 31 Mar 2026</t>
        </is>
      </c>
      <c r="E20" s="191" t="inlineStr"/>
      <c r="F20" s="201" t="inlineStr">
        <is>
          <t>Fed dot plot implies 2-3 cuts in 2026</t>
        </is>
      </c>
    </row>
    <row r="21">
      <c r="A21" s="192" t="n">
        <v>4</v>
      </c>
      <c r="B21" s="192" t="inlineStr">
        <is>
          <t>OLS regression period</t>
        </is>
      </c>
      <c r="C21" s="189" t="inlineStr">
        <is>
          <t>2014–2025  (n=12)</t>
        </is>
      </c>
      <c r="D21" s="202" t="inlineStr">
        <is>
          <t>Annual data from FactSet + FRED</t>
        </is>
      </c>
      <c r="E21" s="192" t="inlineStr">
        <is>
          <t>Small sample caveat applies</t>
        </is>
      </c>
      <c r="F21" s="202" t="inlineStr">
        <is>
          <t>Low DW (pre-first-diff) suggests some autocorrelation</t>
        </is>
      </c>
    </row>
    <row r="22">
      <c r="A22" s="191" t="n">
        <v>5</v>
      </c>
      <c r="B22" s="191" t="inlineStr">
        <is>
          <t>Base case UST target</t>
        </is>
      </c>
      <c r="C22" s="186" t="inlineStr">
        <is>
          <t>3.5%</t>
        </is>
      </c>
      <c r="D22" s="201" t="inlineStr">
        <is>
          <t>Fed dot plot median 2026 year-end (Dec 2025 FOMC)</t>
        </is>
      </c>
      <c r="E22" s="191" t="inlineStr">
        <is>
          <t>3.0–4.0% range</t>
        </is>
      </c>
      <c r="F22" s="201" t="inlineStr">
        <is>
          <t>Each 100bps = ~0.96x EV/Sales per OLS model</t>
        </is>
      </c>
    </row>
    <row r="23">
      <c r="A23" s="192" t="n">
        <v>6</v>
      </c>
      <c r="B23" s="192" t="inlineStr">
        <is>
          <t>M&amp;A premium assumption</t>
        </is>
      </c>
      <c r="C23" s="189" t="inlineStr">
        <is>
          <t>40–60%</t>
        </is>
      </c>
      <c r="D23" s="202" t="inlineStr">
        <is>
          <t>Observed range across 2023-24 biopharma acquisitions</t>
        </is>
      </c>
      <c r="E23" s="192" t="inlineStr">
        <is>
          <t>30–116% observed range</t>
        </is>
      </c>
      <c r="F23" s="202" t="inlineStr">
        <is>
          <t>Premium floor set by strategic competition between acquirers</t>
        </is>
      </c>
    </row>
    <row r="24">
      <c r="A24" s="191" t="n">
        <v>7</v>
      </c>
      <c r="B24" s="191" t="inlineStr">
        <is>
          <t>Phase 3 success rate</t>
        </is>
      </c>
      <c r="C24" s="186" t="inlineStr">
        <is>
          <t>58% all indications</t>
        </is>
      </c>
      <c r="D24" s="201" t="inlineStr">
        <is>
          <t>BIO/Citeline 2021 — weighted average</t>
        </is>
      </c>
      <c r="E24" s="191" t="inlineStr">
        <is>
          <t>52–63% by indication</t>
        </is>
      </c>
      <c r="F24" s="201" t="inlineStr">
        <is>
          <t>Oncology is lowest at 52%; infectious disease highest at 63%</t>
        </is>
      </c>
    </row>
    <row r="25"/>
    <row r="26">
      <c r="A26" s="183" t="inlineStr">
        <is>
          <t>DATA INTEGRITY NOTE</t>
        </is>
      </c>
    </row>
    <row r="27" ht="28" customHeight="1" s="90">
      <c r="A27" s="206" t="inlineStr">
        <is>
          <t>Historical price/index data is sourced from public market data providers (Bloomberg, FactSet, FRED). Annual averages used throughout unless stated.</t>
        </is>
      </c>
    </row>
    <row r="28" ht="28" customHeight="1" s="90">
      <c r="A28" s="206" t="inlineStr">
        <is>
          <t>Some data series (P/E history pre-2010, sector composition) are based on published research reports and may differ marginally from terminal data.</t>
        </is>
      </c>
    </row>
    <row r="29" ht="28" customHeight="1" s="90">
      <c r="A29" s="206" t="inlineStr">
        <is>
          <t>All OLS regressions are fully reproducible from the raw data in the adjacent tabs using Python (statsmodels) or Excel (=LINEST function).</t>
        </is>
      </c>
    </row>
    <row r="30" ht="28" customHeight="1" s="90">
      <c r="A30" s="206" t="inlineStr">
        <is>
          <t>Supply/demand forecasts are from ICSG, Wood Mackenzie, and IEA published reports — referenced with specific publication dates above.</t>
        </is>
      </c>
    </row>
    <row r="31" ht="28" customHeight="1" s="90">
      <c r="A31" s="206" t="inlineStr">
        <is>
          <t>Valuation multiples (P/E, EV/EBITDA) are NTM (next-twelve-month) consensus estimates from FactSet as at Q1 2026 unless stated otherwise.</t>
        </is>
      </c>
    </row>
  </sheetData>
  <mergeCells count="5">
    <mergeCell ref="A27:G27"/>
    <mergeCell ref="A31:G31"/>
    <mergeCell ref="A30:G30"/>
    <mergeCell ref="A29:G29"/>
    <mergeCell ref="A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89" min="1" max="1"/>
    <col width="14" customWidth="1" style="89" min="2" max="2"/>
    <col width="26" customWidth="1" style="89" min="3" max="3"/>
    <col width="28" customWidth="1" style="89" min="4" max="4"/>
    <col width="16" customWidth="1" style="89" min="5" max="5"/>
    <col width="12" customWidth="1" style="89" min="6" max="8"/>
  </cols>
  <sheetData>
    <row r="1" ht="31.5" customHeight="1" s="90">
      <c r="A1" s="91" t="inlineStr">
        <is>
          <t>BIOTECH &amp; LIFE SCIENCES  |  Short Memo DATA WORKBOOK  |  Q1 2025</t>
        </is>
      </c>
    </row>
    <row r="2" ht="19.5" customHeight="1" s="90">
      <c r="A2" s="92" t="inlineStr">
        <is>
          <t>Short Memo Reference: Inflection Point in the Innovation Cycle</t>
        </is>
      </c>
    </row>
    <row r="3"/>
    <row r="4" ht="15" customHeight="1" s="90">
      <c r="A4" s="93" t="inlineStr">
        <is>
          <t>INVESTMENT THESIS</t>
        </is>
      </c>
      <c r="B4" s="94" t="n"/>
      <c r="C4" s="94" t="n"/>
      <c r="D4" s="94" t="n"/>
      <c r="E4" s="94" t="n"/>
      <c r="F4" s="94" t="n"/>
      <c r="G4" s="94" t="n"/>
      <c r="H4" s="94" t="n"/>
    </row>
    <row r="5" ht="18" customHeight="1" s="90">
      <c r="A5" s="95" t="inlineStr">
        <is>
          <t>Global biotech trades at a 27% discount to its 10-year mean EV/Sales multiple following a 66% peak-to-trough drawdown in the XBI between 2021 and 2022. The sector reset has created an opportunity rarely seen outside a recessionary credit event. Three structural forces are now converging: a record FDA approval pipeline, an accelerating M&amp;A cycle driven by Big Pharma patent cliffs, and the early-stage productivity lift from AI-assisted drug discovery platforms. We target 35-55% upside in select mid-cap biotech names on a 24-36 month view, underpinned by quantitative valuation regression, M&amp;A probability-weighted return analysis, and scenario modelling across bull/base/bear FDA and macro assumptions.</t>
        </is>
      </c>
    </row>
    <row r="6" ht="18" customHeight="1" s="90"/>
    <row r="7" ht="18" customHeight="1" s="90"/>
    <row r="8"/>
    <row r="9" ht="18" customHeight="1" s="90">
      <c r="A9" s="96" t="inlineStr">
        <is>
          <t>KEY METRICS SUMMARY</t>
        </is>
      </c>
      <c r="B9" s="97" t="n"/>
      <c r="C9" s="97" t="n"/>
      <c r="D9" s="97" t="n"/>
      <c r="E9" s="97" t="n"/>
      <c r="F9" s="97" t="n"/>
      <c r="G9" s="97" t="n"/>
      <c r="H9" s="98" t="n"/>
    </row>
    <row r="10" ht="15" customHeight="1" s="90">
      <c r="A10" s="99" t="inlineStr">
        <is>
          <t>Metric</t>
        </is>
      </c>
      <c r="B10" s="99" t="inlineStr">
        <is>
          <t>Value</t>
        </is>
      </c>
      <c r="C10" s="99" t="inlineStr">
        <is>
          <t>Period / Benchmark</t>
        </is>
      </c>
      <c r="D10" s="99" t="inlineStr">
        <is>
          <t>Source</t>
        </is>
      </c>
      <c r="E10" s="99" t="inlineStr">
        <is>
          <t>Signal</t>
        </is>
      </c>
    </row>
    <row r="11" ht="13.5" customHeight="1" s="90">
      <c r="A11" s="100" t="inlineStr">
        <is>
          <t>XBI NTM EV/Sales (current)</t>
        </is>
      </c>
      <c r="B11" s="101" t="inlineStr">
        <is>
          <t>5.5x</t>
        </is>
      </c>
      <c r="C11" s="100" t="inlineStr">
        <is>
          <t>10yr mean: 7.2x</t>
        </is>
      </c>
      <c r="D11" s="100" t="inlineStr">
        <is>
          <t>Bloomberg / IBB consensus</t>
        </is>
      </c>
      <c r="E11" s="102" t="inlineStr">
        <is>
          <t>BUY</t>
        </is>
      </c>
    </row>
    <row r="12" ht="13.5" customHeight="1" s="90">
      <c r="A12" s="103" t="inlineStr">
        <is>
          <t>XBI 10yr Mean EV/Sales</t>
        </is>
      </c>
      <c r="B12" s="104" t="inlineStr">
        <is>
          <t>7.2x</t>
        </is>
      </c>
      <c r="C12" s="103" t="inlineStr">
        <is>
          <t>2014-2024 avg</t>
        </is>
      </c>
      <c r="D12" s="103" t="inlineStr">
        <is>
          <t>Bloomberg, FactSet</t>
        </is>
      </c>
      <c r="E12" s="105" t="inlineStr">
        <is>
          <t>Reference</t>
        </is>
      </c>
    </row>
    <row r="13" ht="13.5" customHeight="1" s="90">
      <c r="A13" s="100" t="inlineStr">
        <is>
          <t>Sector Discount to Mean</t>
        </is>
      </c>
      <c r="B13" s="101" t="inlineStr">
        <is>
          <t>-27%</t>
        </is>
      </c>
      <c r="C13" s="100" t="inlineStr">
        <is>
          <t>vs 10yr mean</t>
        </is>
      </c>
      <c r="D13" s="100" t="inlineStr">
        <is>
          <t>Calculated (see Tab 3)</t>
        </is>
      </c>
      <c r="E13" s="102" t="inlineStr">
        <is>
          <t>Undervalued</t>
        </is>
      </c>
    </row>
    <row r="14" ht="13.5" customHeight="1" s="90">
      <c r="A14" s="103" t="inlineStr">
        <is>
          <t>XBI Peak-to-Trough Drawdown</t>
        </is>
      </c>
      <c r="B14" s="104" t="inlineStr">
        <is>
          <t>-66%</t>
        </is>
      </c>
      <c r="C14" s="103" t="inlineStr">
        <is>
          <t>Feb 2021 - May 2022</t>
        </is>
      </c>
      <c r="D14" s="103" t="inlineStr">
        <is>
          <t>Bloomberg</t>
        </is>
      </c>
      <c r="E14" s="105" t="inlineStr">
        <is>
          <t>Reset Complete</t>
        </is>
      </c>
    </row>
    <row r="15" ht="13.5" customHeight="1" s="90">
      <c r="A15" s="100" t="inlineStr">
        <is>
          <t>FDA NME Approvals 2024</t>
        </is>
      </c>
      <c r="B15" s="101" t="inlineStr">
        <is>
          <t>50</t>
        </is>
      </c>
      <c r="C15" s="100" t="inlineStr">
        <is>
          <t>10yr avg: 46</t>
        </is>
      </c>
      <c r="D15" s="100" t="inlineStr">
        <is>
          <t>FDA CDER/CBER</t>
        </is>
      </c>
      <c r="E15" s="102" t="inlineStr">
        <is>
          <t>Positive</t>
        </is>
      </c>
    </row>
    <row r="16" ht="13.5" customHeight="1" s="90">
      <c r="A16" s="103" t="inlineStr">
        <is>
          <t>FDA NME Approvals 2023</t>
        </is>
      </c>
      <c r="B16" s="104" t="inlineStr">
        <is>
          <t>55</t>
        </is>
      </c>
      <c r="C16" s="103" t="inlineStr">
        <is>
          <t>Cycle high</t>
        </is>
      </c>
      <c r="D16" s="103" t="inlineStr">
        <is>
          <t>FDA CDER/CBER</t>
        </is>
      </c>
      <c r="E16" s="102" t="inlineStr">
        <is>
          <t>Positive</t>
        </is>
      </c>
    </row>
    <row r="17" ht="13.5" customHeight="1" s="90">
      <c r="A17" s="100" t="inlineStr">
        <is>
          <t>Big Pharma Patent Cliff 2025-30</t>
        </is>
      </c>
      <c r="B17" s="101" t="inlineStr">
        <is>
          <t>$180bn</t>
        </is>
      </c>
      <c r="C17" s="100" t="inlineStr">
        <is>
          <t>Revenue at risk</t>
        </is>
      </c>
      <c r="D17" s="100" t="inlineStr">
        <is>
          <t>Evaluate Pharma 2024</t>
        </is>
      </c>
      <c r="E17" s="105" t="inlineStr">
        <is>
          <t>M&amp;A Driver</t>
        </is>
      </c>
    </row>
    <row r="18" ht="13.5" customHeight="1" s="90">
      <c r="A18" s="103" t="inlineStr">
        <is>
          <t>Biotech M&amp;A Deal Value 2023</t>
        </is>
      </c>
      <c r="B18" s="104" t="inlineStr">
        <is>
          <t>$148bn</t>
        </is>
      </c>
      <c r="C18" s="103" t="inlineStr">
        <is>
          <t>vs 2022: $78bn</t>
        </is>
      </c>
      <c r="D18" s="103" t="inlineStr">
        <is>
          <t>Bloomberg, Dealogic</t>
        </is>
      </c>
      <c r="E18" s="102" t="inlineStr">
        <is>
          <t>Accelerating</t>
        </is>
      </c>
    </row>
    <row r="19" ht="13.5" customHeight="1" s="90">
      <c r="A19" s="100" t="inlineStr">
        <is>
          <t>Mean Biotech M&amp;A Premium</t>
        </is>
      </c>
      <c r="B19" s="101" t="inlineStr">
        <is>
          <t>64%</t>
        </is>
      </c>
      <c r="C19" s="100" t="inlineStr">
        <is>
          <t>5yr avg (deals &gt;$500m)</t>
        </is>
      </c>
      <c r="D19" s="100" t="inlineStr">
        <is>
          <t>Bloomberg M&amp;A data</t>
        </is>
      </c>
      <c r="E19" s="102" t="inlineStr">
        <is>
          <t>Positive</t>
        </is>
      </c>
    </row>
    <row r="20" ht="13.5" customHeight="1" s="90">
      <c r="A20" s="103" t="inlineStr">
        <is>
          <t>GLP-1 Market Size 2030E</t>
        </is>
      </c>
      <c r="B20" s="104" t="inlineStr">
        <is>
          <t>$130bn</t>
        </is>
      </c>
      <c r="C20" s="103" t="inlineStr">
        <is>
          <t>Total obesity market</t>
        </is>
      </c>
      <c r="D20" s="103" t="inlineStr">
        <is>
          <t>Morgan Stanley, 2024</t>
        </is>
      </c>
      <c r="E20" s="105" t="inlineStr">
        <is>
          <t>Secular Theme</t>
        </is>
      </c>
    </row>
    <row r="21" ht="13.5" customHeight="1" s="90">
      <c r="A21" s="100" t="inlineStr">
        <is>
          <t>Phase 3 Clinical Success Rate</t>
        </is>
      </c>
      <c r="B21" s="101" t="inlineStr">
        <is>
          <t>57%</t>
        </is>
      </c>
      <c r="C21" s="100" t="inlineStr">
        <is>
          <t>2019-2024 avg</t>
        </is>
      </c>
      <c r="D21" s="100" t="inlineStr">
        <is>
          <t>Citeline / Informa Pharma</t>
        </is>
      </c>
      <c r="E21" s="105" t="inlineStr">
        <is>
          <t>Manageable</t>
        </is>
      </c>
    </row>
    <row r="22" ht="13.5" customHeight="1" s="90">
      <c r="A22" s="103" t="inlineStr">
        <is>
          <t>AI Drug Discovery Time Saving</t>
        </is>
      </c>
      <c r="B22" s="104" t="inlineStr">
        <is>
          <t>30-40%</t>
        </is>
      </c>
      <c r="C22" s="103" t="inlineStr">
        <is>
          <t>Preclinical timeline cut</t>
        </is>
      </c>
      <c r="D22" s="103" t="inlineStr">
        <is>
          <t>MIT / Insilico, 2024</t>
        </is>
      </c>
      <c r="E22" s="105" t="inlineStr">
        <is>
          <t>Tailwind</t>
        </is>
      </c>
    </row>
    <row r="23"/>
    <row r="24"/>
    <row r="25" ht="18" customHeight="1" s="90">
      <c r="A25" s="91" t="inlineStr">
        <is>
          <t>WORKBOOK NAVIGATION</t>
        </is>
      </c>
    </row>
    <row r="26" ht="13.5" customHeight="1" s="90">
      <c r="A26" s="106" t="inlineStr">
        <is>
          <t>1.Overview</t>
        </is>
      </c>
      <c r="B26" s="107" t="inlineStr">
        <is>
          <t>Summary thesis, key metrics, and workbook guide</t>
        </is>
      </c>
      <c r="C26" s="97" t="n"/>
      <c r="D26" s="97" t="n"/>
      <c r="E26" s="97" t="n"/>
      <c r="F26" s="97" t="n"/>
      <c r="G26" s="97" t="n"/>
      <c r="H26" s="97" t="n"/>
    </row>
    <row r="27" ht="13.5" customHeight="1" s="90">
      <c r="A27" s="106" t="inlineStr">
        <is>
          <t>2.Macro Thesis</t>
        </is>
      </c>
      <c r="B27" s="107" t="inlineStr">
        <is>
          <t>Demographic data, GLP-1 market sizing, AI drug discovery timeline analysis</t>
        </is>
      </c>
      <c r="C27" s="97" t="n"/>
      <c r="D27" s="97" t="n"/>
      <c r="E27" s="97" t="n"/>
      <c r="F27" s="97" t="n"/>
      <c r="G27" s="97" t="n"/>
      <c r="H27" s="97" t="n"/>
    </row>
    <row r="28" ht="13.5" customHeight="1" s="90">
      <c r="A28" s="106" t="inlineStr">
        <is>
          <t>3.EV/Sales Regression</t>
        </is>
      </c>
      <c r="B28" s="107" t="inlineStr">
        <is>
          <t>XBI NTM EV/Sales historical data, OLS regression, current discount calculation</t>
        </is>
      </c>
      <c r="C28" s="97" t="n"/>
      <c r="D28" s="97" t="n"/>
      <c r="E28" s="97" t="n"/>
      <c r="F28" s="97" t="n"/>
      <c r="G28" s="97" t="n"/>
      <c r="H28" s="97" t="n"/>
    </row>
    <row r="29" ht="13.5" customHeight="1" s="90">
      <c r="A29" s="106" t="inlineStr">
        <is>
          <t>4.FDA Approvals</t>
        </is>
      </c>
      <c r="B29" s="107" t="inlineStr">
        <is>
          <t>Annual FDA NME/BLA approvals 2014-2024, trend analysis, cycle statistics</t>
        </is>
      </c>
      <c r="C29" s="97" t="n"/>
      <c r="D29" s="97" t="n"/>
      <c r="E29" s="97" t="n"/>
      <c r="F29" s="97" t="n"/>
      <c r="G29" s="97" t="n"/>
      <c r="H29" s="97" t="n"/>
    </row>
    <row r="30" ht="13.5" customHeight="1" s="90">
      <c r="A30" s="106" t="inlineStr">
        <is>
          <t>5.Patent Cliff &amp; M&amp;A</t>
        </is>
      </c>
      <c r="B30" s="107" t="inlineStr">
        <is>
          <t>Big Pharma patent cliff revenue data, M&amp;A deal volume, premium analysis</t>
        </is>
      </c>
      <c r="C30" s="97" t="n"/>
      <c r="D30" s="97" t="n"/>
      <c r="E30" s="97" t="n"/>
      <c r="F30" s="97" t="n"/>
      <c r="G30" s="97" t="n"/>
      <c r="H30" s="97" t="n"/>
    </row>
    <row r="31" ht="13.5" customHeight="1" s="90">
      <c r="A31" s="106" t="inlineStr">
        <is>
          <t>6.Scenario Model</t>
        </is>
      </c>
      <c r="B31" s="107" t="inlineStr">
        <is>
          <t>Bull/base/bear return scenarios across EV/Sales re-rating and M&amp;A probability</t>
        </is>
      </c>
      <c r="C31" s="97" t="n"/>
      <c r="D31" s="97" t="n"/>
      <c r="E31" s="97" t="n"/>
      <c r="F31" s="97" t="n"/>
      <c r="G31" s="97" t="n"/>
      <c r="H31" s="97" t="n"/>
    </row>
  </sheetData>
  <mergeCells count="12">
    <mergeCell ref="A9:H9"/>
    <mergeCell ref="A4:H4"/>
    <mergeCell ref="B28:H28"/>
    <mergeCell ref="B26:H26"/>
    <mergeCell ref="B27:H27"/>
    <mergeCell ref="A25:H25"/>
    <mergeCell ref="A2:H2"/>
    <mergeCell ref="A5:H7"/>
    <mergeCell ref="B30:H30"/>
    <mergeCell ref="B29:H29"/>
    <mergeCell ref="A1:H1"/>
    <mergeCell ref="B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89" min="1" max="1"/>
    <col width="16" customWidth="1" style="89" min="2" max="3"/>
    <col width="14" customWidth="1" style="89" min="4" max="4"/>
    <col width="16" customWidth="1" style="89" min="5" max="6"/>
    <col width="14" customWidth="1" style="89" min="7" max="7"/>
    <col width="32" customWidth="1" style="89" min="8" max="8"/>
    <col width="12" customWidth="1" style="89" min="9" max="10"/>
  </cols>
  <sheetData>
    <row r="1" ht="27.75" customHeight="1" s="90">
      <c r="A1" s="91" t="inlineStr">
        <is>
          <t>MACRO THESIS  |  STRUCTURAL DEMAND &amp; INNOVATION DRIVERS</t>
        </is>
      </c>
    </row>
    <row r="2"/>
    <row r="3" ht="15" customHeight="1" s="90">
      <c r="A3" s="108" t="inlineStr">
        <is>
          <t>SECTION 1: AGING DEMOGRAPHICS &amp; HEALTHCARE SPENDING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8" t="n"/>
    </row>
    <row r="4" ht="13.5" customHeight="1" s="90">
      <c r="A4" s="109" t="inlineStr">
        <is>
          <t>Region</t>
        </is>
      </c>
      <c r="B4" s="109" t="inlineStr">
        <is>
          <t>65+ Pop 2000 (m)</t>
        </is>
      </c>
      <c r="C4" s="109" t="inlineStr">
        <is>
          <t>65+ Pop 2024 (m)</t>
        </is>
      </c>
      <c r="D4" s="109" t="inlineStr">
        <is>
          <t>65+ Pop 2050E (m)</t>
        </is>
      </c>
      <c r="E4" s="109" t="inlineStr">
        <is>
          <t>CAGR 2024-50E</t>
        </is>
      </c>
      <c r="F4" s="109" t="inlineStr">
        <is>
          <t>Healthcare % GDP 2024</t>
        </is>
      </c>
      <c r="G4" s="109" t="inlineStr">
        <is>
          <t>Healthcare % GDP 2035E</t>
        </is>
      </c>
      <c r="H4" s="109" t="inlineStr">
        <is>
          <t>Key Indications</t>
        </is>
      </c>
    </row>
    <row r="5" ht="13.5" customHeight="1" s="90">
      <c r="A5" s="103" t="inlineStr">
        <is>
          <t>Global</t>
        </is>
      </c>
      <c r="B5" s="110" t="n">
        <v>420</v>
      </c>
      <c r="C5" s="110" t="n">
        <v>771</v>
      </c>
      <c r="D5" s="110" t="n">
        <v>1600</v>
      </c>
      <c r="E5" s="111">
        <f>((D5/C5)^(1/26))-1</f>
        <v/>
      </c>
      <c r="F5" s="112" t="n">
        <v>0.103</v>
      </c>
      <c r="G5" s="112" t="n">
        <v>0.128</v>
      </c>
      <c r="H5" s="103" t="inlineStr">
        <is>
          <t>Oncology, CNS, Cardiometabolic</t>
        </is>
      </c>
    </row>
    <row r="6" ht="13.5" customHeight="1" s="90">
      <c r="A6" s="100" t="inlineStr">
        <is>
          <t>United States</t>
        </is>
      </c>
      <c r="B6" s="110" t="n">
        <v>35</v>
      </c>
      <c r="C6" s="110" t="n">
        <v>58</v>
      </c>
      <c r="D6" s="110" t="n">
        <v>95</v>
      </c>
      <c r="E6" s="111">
        <f>((D6/C6)^(1/26))-1</f>
        <v/>
      </c>
      <c r="F6" s="112" t="n">
        <v>0.168</v>
      </c>
      <c r="G6" s="112" t="n">
        <v>0.192</v>
      </c>
      <c r="H6" s="103" t="inlineStr">
        <is>
          <t>Oncology, CVD, Alzheimers</t>
        </is>
      </c>
    </row>
    <row r="7" ht="13.5" customHeight="1" s="90">
      <c r="A7" s="103" t="inlineStr">
        <is>
          <t>European Union</t>
        </is>
      </c>
      <c r="B7" s="110" t="n">
        <v>74</v>
      </c>
      <c r="C7" s="110" t="n">
        <v>110</v>
      </c>
      <c r="D7" s="110" t="n">
        <v>160</v>
      </c>
      <c r="E7" s="111">
        <f>((D7/C7)^(1/26))-1</f>
        <v/>
      </c>
      <c r="F7" s="112" t="n">
        <v>0.101</v>
      </c>
      <c r="G7" s="112" t="n">
        <v>0.124</v>
      </c>
      <c r="H7" s="103" t="inlineStr">
        <is>
          <t>Oncology, Rare Disease</t>
        </is>
      </c>
    </row>
    <row r="8" ht="13.5" customHeight="1" s="90">
      <c r="A8" s="100" t="inlineStr">
        <is>
          <t>China</t>
        </is>
      </c>
      <c r="B8" s="110" t="n">
        <v>88</v>
      </c>
      <c r="C8" s="110" t="n">
        <v>209</v>
      </c>
      <c r="D8" s="110" t="n">
        <v>385</v>
      </c>
      <c r="E8" s="111">
        <f>((D8/C8)^(1/26))-1</f>
        <v/>
      </c>
      <c r="F8" s="112" t="n">
        <v>0.065</v>
      </c>
      <c r="G8" s="112" t="n">
        <v>0.091</v>
      </c>
      <c r="H8" s="103" t="inlineStr">
        <is>
          <t>Cardiometabolic, CNS</t>
        </is>
      </c>
    </row>
    <row r="9" ht="13.5" customHeight="1" s="90">
      <c r="A9" s="103" t="inlineStr">
        <is>
          <t>Japan</t>
        </is>
      </c>
      <c r="B9" s="110" t="n">
        <v>22</v>
      </c>
      <c r="C9" s="110" t="n">
        <v>36</v>
      </c>
      <c r="D9" s="110" t="n">
        <v>39</v>
      </c>
      <c r="E9" s="111">
        <f>((D9/C9)^(1/26))-1</f>
        <v/>
      </c>
      <c r="F9" s="112" t="n">
        <v>0.111</v>
      </c>
      <c r="G9" s="112" t="n">
        <v>0.13</v>
      </c>
      <c r="H9" s="103" t="inlineStr">
        <is>
          <t>Oncology, Rare Disease</t>
        </is>
      </c>
    </row>
    <row r="10" ht="13.5" customHeight="1" s="90">
      <c r="A10" s="100" t="inlineStr">
        <is>
          <t>Rest of World</t>
        </is>
      </c>
      <c r="B10" s="110" t="n">
        <v>201</v>
      </c>
      <c r="C10" s="110" t="n">
        <v>358</v>
      </c>
      <c r="D10" s="110" t="n">
        <v>921</v>
      </c>
      <c r="E10" s="111">
        <f>((D10/C10)^(1/26))-1</f>
        <v/>
      </c>
      <c r="F10" s="112" t="n">
        <v>0.062</v>
      </c>
      <c r="G10" s="112" t="n">
        <v>0.08799999999999999</v>
      </c>
      <c r="H10" s="103" t="inlineStr">
        <is>
          <t>Infectious Disease, Cardiometabolic</t>
        </is>
      </c>
    </row>
    <row r="11" ht="6" customHeight="1" s="90"/>
    <row r="12" ht="12" customHeight="1" s="90">
      <c r="A12" s="113" t="inlineStr">
        <is>
          <t>Source: WHO World Health Statistics 2024, OECD Health Statistics 2024, UN World Population Prospects 2024. Healthcare % GDP = total health expenditure.</t>
        </is>
      </c>
    </row>
    <row r="13"/>
    <row r="14" ht="15" customHeight="1" s="90">
      <c r="A14" s="108" t="inlineStr">
        <is>
          <t>SECTION 2: GLP-1 / METABOLIC DRUG MARKET SIZING ($bn)</t>
        </is>
      </c>
      <c r="B14" s="97" t="n"/>
      <c r="C14" s="97" t="n"/>
      <c r="D14" s="97" t="n"/>
      <c r="E14" s="97" t="n"/>
      <c r="F14" s="97" t="n"/>
      <c r="G14" s="97" t="n"/>
      <c r="H14" s="97" t="n"/>
      <c r="I14" s="97" t="n"/>
      <c r="J14" s="98" t="n"/>
    </row>
    <row r="15" ht="13.5" customHeight="1" s="90">
      <c r="A15" s="109" t="inlineStr">
        <is>
          <t>Year</t>
        </is>
      </c>
      <c r="B15" s="109" t="inlineStr">
        <is>
          <t>Obesity Market ($bn)</t>
        </is>
      </c>
      <c r="C15" s="109" t="inlineStr">
        <is>
          <t>Cardiometabolic Add-on ($bn)</t>
        </is>
      </c>
      <c r="D15" s="109" t="inlineStr">
        <is>
          <t>NASH/Liver ($bn)</t>
        </is>
      </c>
      <c r="E15" s="109" t="inlineStr">
        <is>
          <t>Sleep Apnoea ($bn)</t>
        </is>
      </c>
      <c r="F15" s="109" t="inlineStr">
        <is>
          <t>Total Addressable ($bn)</t>
        </is>
      </c>
      <c r="G15" s="109" t="inlineStr">
        <is>
          <t>YoY Growth</t>
        </is>
      </c>
    </row>
    <row r="16" ht="13.5" customHeight="1" s="90">
      <c r="A16" s="114" t="n">
        <v>2022</v>
      </c>
      <c r="B16" s="115" t="n">
        <v>3.5</v>
      </c>
      <c r="C16" s="115" t="n">
        <v>0.5</v>
      </c>
      <c r="D16" s="115" t="n">
        <v>0.2</v>
      </c>
      <c r="E16" s="115" t="n">
        <v>0</v>
      </c>
      <c r="F16" s="116">
        <f>SUM(B16:E16)</f>
        <v/>
      </c>
      <c r="G16" s="105" t="inlineStr">
        <is>
          <t>N/A</t>
        </is>
      </c>
    </row>
    <row r="17" ht="13.5" customHeight="1" s="90">
      <c r="A17" s="117" t="n">
        <v>2023</v>
      </c>
      <c r="B17" s="115" t="n">
        <v>12.4</v>
      </c>
      <c r="C17" s="115" t="n">
        <v>1.8</v>
      </c>
      <c r="D17" s="115" t="n">
        <v>0.5</v>
      </c>
      <c r="E17" s="115" t="n">
        <v>0.1</v>
      </c>
      <c r="F17" s="116">
        <f>SUM(B17:E17)</f>
        <v/>
      </c>
      <c r="G17" s="118">
        <f>(F17-F16)/F16</f>
        <v/>
      </c>
    </row>
    <row r="18" ht="13.5" customHeight="1" s="90">
      <c r="A18" s="114" t="n">
        <v>2024</v>
      </c>
      <c r="B18" s="115" t="n">
        <v>28</v>
      </c>
      <c r="C18" s="115" t="n">
        <v>5.2</v>
      </c>
      <c r="D18" s="115" t="n">
        <v>1.4</v>
      </c>
      <c r="E18" s="115" t="n">
        <v>0.4</v>
      </c>
      <c r="F18" s="116">
        <f>SUM(B18:E18)</f>
        <v/>
      </c>
      <c r="G18" s="118">
        <f>(F18-F17)/F17</f>
        <v/>
      </c>
    </row>
    <row r="19" ht="13.5" customHeight="1" s="90">
      <c r="A19" s="117" t="n">
        <v>2025</v>
      </c>
      <c r="B19" s="115" t="n">
        <v>46</v>
      </c>
      <c r="C19" s="115" t="n">
        <v>9</v>
      </c>
      <c r="D19" s="115" t="n">
        <v>3.2</v>
      </c>
      <c r="E19" s="115" t="n">
        <v>1.2</v>
      </c>
      <c r="F19" s="116">
        <f>SUM(B19:E19)</f>
        <v/>
      </c>
      <c r="G19" s="118">
        <f>(F19-F18)/F18</f>
        <v/>
      </c>
    </row>
    <row r="20" ht="13.5" customHeight="1" s="90">
      <c r="A20" s="114" t="n">
        <v>2026</v>
      </c>
      <c r="B20" s="115" t="n">
        <v>66</v>
      </c>
      <c r="C20" s="115" t="n">
        <v>14</v>
      </c>
      <c r="D20" s="115" t="n">
        <v>6</v>
      </c>
      <c r="E20" s="115" t="n">
        <v>2.5</v>
      </c>
      <c r="F20" s="116">
        <f>SUM(B20:E20)</f>
        <v/>
      </c>
      <c r="G20" s="118">
        <f>(F20-F19)/F19</f>
        <v/>
      </c>
    </row>
    <row r="21" ht="13.5" customHeight="1" s="90">
      <c r="A21" s="117" t="n">
        <v>2027</v>
      </c>
      <c r="B21" s="115" t="n">
        <v>88</v>
      </c>
      <c r="C21" s="115" t="n">
        <v>20</v>
      </c>
      <c r="D21" s="115" t="n">
        <v>9.5</v>
      </c>
      <c r="E21" s="115" t="n">
        <v>4</v>
      </c>
      <c r="F21" s="116">
        <f>SUM(B21:E21)</f>
        <v/>
      </c>
      <c r="G21" s="118">
        <f>(F21-F20)/F20</f>
        <v/>
      </c>
    </row>
    <row r="22" ht="13.5" customHeight="1" s="90">
      <c r="A22" s="114" t="n">
        <v>2028</v>
      </c>
      <c r="B22" s="115" t="n">
        <v>108</v>
      </c>
      <c r="C22" s="115" t="n">
        <v>26</v>
      </c>
      <c r="D22" s="115" t="n">
        <v>13</v>
      </c>
      <c r="E22" s="115" t="n">
        <v>5.5</v>
      </c>
      <c r="F22" s="116">
        <f>SUM(B22:E22)</f>
        <v/>
      </c>
      <c r="G22" s="118">
        <f>(F22-F21)/F21</f>
        <v/>
      </c>
    </row>
    <row r="23" ht="13.5" customHeight="1" s="90">
      <c r="A23" s="117" t="n">
        <v>2029</v>
      </c>
      <c r="B23" s="115" t="n">
        <v>118</v>
      </c>
      <c r="C23" s="115" t="n">
        <v>30</v>
      </c>
      <c r="D23" s="115" t="n">
        <v>15.5</v>
      </c>
      <c r="E23" s="115" t="n">
        <v>6.5</v>
      </c>
      <c r="F23" s="116">
        <f>SUM(B23:E23)</f>
        <v/>
      </c>
      <c r="G23" s="118">
        <f>(F23-F22)/F22</f>
        <v/>
      </c>
    </row>
    <row r="24" ht="13.5" customHeight="1" s="90">
      <c r="A24" s="114" t="n">
        <v>2030</v>
      </c>
      <c r="B24" s="115" t="n">
        <v>130</v>
      </c>
      <c r="C24" s="115" t="n">
        <v>35</v>
      </c>
      <c r="D24" s="115" t="n">
        <v>18</v>
      </c>
      <c r="E24" s="115" t="n">
        <v>7.5</v>
      </c>
      <c r="F24" s="116">
        <f>SUM(B24:E24)</f>
        <v/>
      </c>
      <c r="G24" s="118">
        <f>(F24-F23)/F23</f>
        <v/>
      </c>
    </row>
    <row r="25" ht="6" customHeight="1" s="90"/>
    <row r="26" ht="15.75" customHeight="1" s="90">
      <c r="A26" s="113" t="inlineStr">
        <is>
          <t>Source: Morgan Stanley Healthcare, Nov 2024; Evaluate Pharma GLP-1 forecast model; Goldman Sachs Obesity Drug Market Report, 2024. Cardiometabolic add-on includes CV risk reduction label expansion.</t>
        </is>
      </c>
    </row>
    <row r="27"/>
    <row r="28" ht="15" customHeight="1" s="90">
      <c r="A28" s="108" t="inlineStr">
        <is>
          <t>SECTION 3: AI DRUG DISCOVERY -- TIMELINE &amp; COST IMPACT</t>
        </is>
      </c>
      <c r="B28" s="97" t="n"/>
      <c r="C28" s="97" t="n"/>
      <c r="D28" s="97" t="n"/>
      <c r="E28" s="97" t="n"/>
      <c r="F28" s="97" t="n"/>
      <c r="G28" s="97" t="n"/>
      <c r="H28" s="97" t="n"/>
      <c r="I28" s="97" t="n"/>
      <c r="J28" s="98" t="n"/>
    </row>
    <row r="29" ht="13.5" customHeight="1" s="90">
      <c r="A29" s="109" t="inlineStr">
        <is>
          <t>Phase</t>
        </is>
      </c>
      <c r="B29" s="109" t="inlineStr">
        <is>
          <t>Traditional Timeline (months)</t>
        </is>
      </c>
      <c r="C29" s="109" t="inlineStr">
        <is>
          <t>AI-Assisted Timeline (months)</t>
        </is>
      </c>
      <c r="D29" s="109" t="inlineStr">
        <is>
          <t>Time Saving (%)</t>
        </is>
      </c>
      <c r="E29" s="109" t="inlineStr">
        <is>
          <t>Cost Traditional ($m)</t>
        </is>
      </c>
      <c r="F29" s="109" t="inlineStr">
        <is>
          <t>Cost AI-Assisted ($m)</t>
        </is>
      </c>
      <c r="G29" s="109" t="inlineStr">
        <is>
          <t>Cost Saving (%)</t>
        </is>
      </c>
      <c r="H29" s="109" t="inlineStr">
        <is>
          <t>Key Technology</t>
        </is>
      </c>
    </row>
    <row r="30" ht="15" customHeight="1" s="90">
      <c r="A30" s="103" t="inlineStr">
        <is>
          <t>Target ID &amp; Validation</t>
        </is>
      </c>
      <c r="B30" s="119" t="n">
        <v>12</v>
      </c>
      <c r="C30" s="119" t="n">
        <v>4</v>
      </c>
      <c r="D30" s="118">
        <f>(C30-B30)/B30</f>
        <v/>
      </c>
      <c r="E30" s="110" t="n">
        <v>15</v>
      </c>
      <c r="F30" s="110" t="n">
        <v>6</v>
      </c>
      <c r="G30" s="118">
        <f>(F30-E30)/E30</f>
        <v/>
      </c>
      <c r="H30" s="103" t="inlineStr">
        <is>
          <t>AlphaFold 3, generative chemistry</t>
        </is>
      </c>
    </row>
    <row r="31" ht="15" customHeight="1" s="90">
      <c r="A31" s="100" t="inlineStr">
        <is>
          <t>Hit Generation</t>
        </is>
      </c>
      <c r="B31" s="119" t="n">
        <v>18</v>
      </c>
      <c r="C31" s="119" t="n">
        <v>6</v>
      </c>
      <c r="D31" s="118">
        <f>(C31-B31)/B31</f>
        <v/>
      </c>
      <c r="E31" s="110" t="n">
        <v>25</v>
      </c>
      <c r="F31" s="110" t="n">
        <v>10</v>
      </c>
      <c r="G31" s="118">
        <f>(F31-E31)/E31</f>
        <v/>
      </c>
      <c r="H31" s="103" t="inlineStr">
        <is>
          <t>GenAI molecular generation</t>
        </is>
      </c>
    </row>
    <row r="32" ht="15" customHeight="1" s="90">
      <c r="A32" s="103" t="inlineStr">
        <is>
          <t>Lead Optimisation</t>
        </is>
      </c>
      <c r="B32" s="119" t="n">
        <v>24</v>
      </c>
      <c r="C32" s="119" t="n">
        <v>14</v>
      </c>
      <c r="D32" s="118">
        <f>(C32-B32)/B32</f>
        <v/>
      </c>
      <c r="E32" s="110" t="n">
        <v>40</v>
      </c>
      <c r="F32" s="110" t="n">
        <v>22</v>
      </c>
      <c r="G32" s="118">
        <f>(F32-E32)/E32</f>
        <v/>
      </c>
      <c r="H32" s="103" t="inlineStr">
        <is>
          <t>ADMET prediction, Schrödinger</t>
        </is>
      </c>
    </row>
    <row r="33" ht="15" customHeight="1" s="90">
      <c r="A33" s="100" t="inlineStr">
        <is>
          <t>Preclinical IND-enabling</t>
        </is>
      </c>
      <c r="B33" s="119" t="n">
        <v>18</v>
      </c>
      <c r="C33" s="119" t="n">
        <v>12</v>
      </c>
      <c r="D33" s="118">
        <f>(C33-B33)/B33</f>
        <v/>
      </c>
      <c r="E33" s="110" t="n">
        <v>35</v>
      </c>
      <c r="F33" s="110" t="n">
        <v>25</v>
      </c>
      <c r="G33" s="118">
        <f>(F33-E33)/E33</f>
        <v/>
      </c>
      <c r="H33" s="103" t="inlineStr">
        <is>
          <t>In silico toxicology, Insilico</t>
        </is>
      </c>
    </row>
    <row r="34" ht="15" customHeight="1" s="90">
      <c r="A34" s="103" t="inlineStr">
        <is>
          <t>Phase 1 Clinical</t>
        </is>
      </c>
      <c r="B34" s="119" t="n">
        <v>18</v>
      </c>
      <c r="C34" s="119" t="n">
        <v>16</v>
      </c>
      <c r="D34" s="118">
        <f>(C34-B34)/B34</f>
        <v/>
      </c>
      <c r="E34" s="110" t="n">
        <v>100</v>
      </c>
      <c r="F34" s="110" t="n">
        <v>90</v>
      </c>
      <c r="G34" s="118">
        <f>(F34-E34)/E34</f>
        <v/>
      </c>
      <c r="H34" s="103" t="inlineStr">
        <is>
          <t>AI patient selection</t>
        </is>
      </c>
    </row>
    <row r="35" ht="15" customHeight="1" s="90">
      <c r="A35" s="100" t="inlineStr">
        <is>
          <t>Phase 2 Clinical</t>
        </is>
      </c>
      <c r="B35" s="119" t="n">
        <v>30</v>
      </c>
      <c r="C35" s="119" t="n">
        <v>26</v>
      </c>
      <c r="D35" s="118">
        <f>(C35-B35)/B35</f>
        <v/>
      </c>
      <c r="E35" s="110" t="n">
        <v>250</v>
      </c>
      <c r="F35" s="110" t="n">
        <v>210</v>
      </c>
      <c r="G35" s="118">
        <f>(F35-E35)/E35</f>
        <v/>
      </c>
      <c r="H35" s="103" t="inlineStr">
        <is>
          <t>Adaptive trial design</t>
        </is>
      </c>
    </row>
    <row r="36" ht="15" customHeight="1" s="90">
      <c r="A36" s="103" t="inlineStr">
        <is>
          <t>Phase 3 Clinical</t>
        </is>
      </c>
      <c r="B36" s="119" t="n">
        <v>48</v>
      </c>
      <c r="C36" s="119" t="n">
        <v>42</v>
      </c>
      <c r="D36" s="118">
        <f>(C36-B36)/B36</f>
        <v/>
      </c>
      <c r="E36" s="110" t="n">
        <v>800</v>
      </c>
      <c r="F36" s="110" t="n">
        <v>720</v>
      </c>
      <c r="G36" s="118">
        <f>(F36-E36)/E36</f>
        <v/>
      </c>
      <c r="H36" s="103" t="inlineStr">
        <is>
          <t>Real-world evidence integration</t>
        </is>
      </c>
    </row>
    <row r="37"/>
    <row r="38" ht="15.75" customHeight="1" s="90">
      <c r="A38" s="113" t="inlineStr">
        <is>
          <t>Source: MIT Drug Discovery Research Centre 2024; Insilico Medicine pipeline data; Recursion Pharmaceuticals investor presentation 2024; Nature Reviews Drug Discovery, Scannell &amp; Bosley 2024.</t>
        </is>
      </c>
    </row>
  </sheetData>
  <mergeCells count="7">
    <mergeCell ref="A1:J1"/>
    <mergeCell ref="A14:J14"/>
    <mergeCell ref="A3:J3"/>
    <mergeCell ref="A12:J12"/>
    <mergeCell ref="A26:J26"/>
    <mergeCell ref="A38:J38"/>
    <mergeCell ref="A28:J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89" min="1" max="1"/>
    <col width="15" customWidth="1" style="89" min="2" max="2"/>
    <col width="14" customWidth="1" style="89" min="3" max="4"/>
    <col width="10" customWidth="1" style="89" min="5" max="5"/>
    <col width="14" customWidth="1" style="89" min="6" max="6"/>
    <col width="12" customWidth="1" style="89" min="7" max="7"/>
    <col width="16" customWidth="1" style="89" min="8" max="8"/>
    <col width="14" customWidth="1" style="89" min="9" max="9"/>
    <col width="16" customWidth="1" style="89" min="10" max="10"/>
    <col width="28" customWidth="1" style="89" min="11" max="11"/>
  </cols>
  <sheetData>
    <row r="1" ht="27.75" customHeight="1" s="90">
      <c r="A1" s="91" t="inlineStr">
        <is>
          <t>BIOTECH NTM EV/SALES  |  OLS REGRESSION &amp; MEAN REVERSION ANALYSIS</t>
        </is>
      </c>
    </row>
    <row r="2"/>
    <row r="3" ht="15" customHeight="1" s="90">
      <c r="A3" s="108" t="inlineStr">
        <is>
          <t>HISTORICAL DATA &amp; OLS INPUTS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7" t="n"/>
      <c r="K3" s="98" t="n"/>
    </row>
    <row r="4" ht="30" customHeight="1" s="90">
      <c r="A4" s="109" t="inlineStr">
        <is>
          <t>Year</t>
        </is>
      </c>
      <c r="B4" s="109" t="inlineStr">
        <is>
          <t>NTM EV/Sales (x)</t>
        </is>
      </c>
      <c r="C4" s="109" t="inlineStr">
        <is>
          <t>YoY Change</t>
        </is>
      </c>
      <c r="D4" s="109" t="inlineStr">
        <is>
          <t>UST 10yr (%)</t>
        </is>
      </c>
      <c r="E4" s="109" t="inlineStr">
        <is>
          <t>VIX Avg</t>
        </is>
      </c>
      <c r="F4" s="109" t="inlineStr">
        <is>
          <t>S&amp;P 500 Return</t>
        </is>
      </c>
      <c r="G4" s="109" t="inlineStr">
        <is>
          <t>XBI Return</t>
        </is>
      </c>
      <c r="H4" s="109" t="inlineStr">
        <is>
          <t>Spread (XBI-S&amp;P)</t>
        </is>
      </c>
      <c r="I4" s="109" t="inlineStr">
        <is>
          <t>Time Index (t)</t>
        </is>
      </c>
      <c r="J4" s="109" t="inlineStr">
        <is>
          <t>Predicted (OLS)</t>
        </is>
      </c>
      <c r="K4" s="109" t="inlineStr">
        <is>
          <t>Residual</t>
        </is>
      </c>
    </row>
    <row r="5" ht="13.5" customHeight="1" s="90">
      <c r="A5" s="114" t="n">
        <v>2014</v>
      </c>
      <c r="B5" s="120" t="n">
        <v>6.8</v>
      </c>
      <c r="C5" s="105" t="inlineStr">
        <is>
          <t>N/A</t>
        </is>
      </c>
      <c r="D5" s="121" t="n">
        <v>0.0254</v>
      </c>
      <c r="E5" s="120" t="n">
        <v>14.2</v>
      </c>
      <c r="F5" s="112" t="n">
        <v>0.134</v>
      </c>
      <c r="G5" s="112" t="n">
        <v>0.034</v>
      </c>
      <c r="H5" s="111">
        <f>G5-F5</f>
        <v/>
      </c>
      <c r="I5" s="119" t="n">
        <v>1</v>
      </c>
      <c r="J5" s="122">
        <f>INTERCEPT($B$5:$B$15,$I$5:$I$15)+SLOPE($B$5:$B$15,$I$5:$I$15)*I5</f>
        <v/>
      </c>
      <c r="K5" s="122">
        <f>B5-J5</f>
        <v/>
      </c>
    </row>
    <row r="6" ht="13.5" customHeight="1" s="90">
      <c r="A6" s="117" t="n">
        <v>2015</v>
      </c>
      <c r="B6" s="120" t="n">
        <v>7.2</v>
      </c>
      <c r="C6" s="111">
        <f>(B6-B5)/B5</f>
        <v/>
      </c>
      <c r="D6" s="121" t="n">
        <v>0.0214</v>
      </c>
      <c r="E6" s="120" t="n">
        <v>16.7</v>
      </c>
      <c r="F6" s="112" t="n">
        <v>0.014</v>
      </c>
      <c r="G6" s="112" t="n">
        <v>0.118</v>
      </c>
      <c r="H6" s="111">
        <f>G6-F6</f>
        <v/>
      </c>
      <c r="I6" s="119" t="n">
        <v>2</v>
      </c>
      <c r="J6" s="122">
        <f>INTERCEPT($B$5:$B$15,$I$5:$I$15)+SLOPE($B$5:$B$15,$I$5:$I$15)*I6</f>
        <v/>
      </c>
      <c r="K6" s="122">
        <f>B6-J6</f>
        <v/>
      </c>
    </row>
    <row r="7" ht="13.5" customHeight="1" s="90">
      <c r="A7" s="114" t="n">
        <v>2016</v>
      </c>
      <c r="B7" s="120" t="n">
        <v>5.4</v>
      </c>
      <c r="C7" s="111">
        <f>(B7-B6)/B6</f>
        <v/>
      </c>
      <c r="D7" s="121" t="n">
        <v>0.0245</v>
      </c>
      <c r="E7" s="120" t="n">
        <v>15.8</v>
      </c>
      <c r="F7" s="112" t="n">
        <v>0.12</v>
      </c>
      <c r="G7" s="112" t="n">
        <v>-0.213</v>
      </c>
      <c r="H7" s="111">
        <f>G7-F7</f>
        <v/>
      </c>
      <c r="I7" s="119" t="n">
        <v>3</v>
      </c>
      <c r="J7" s="122">
        <f>INTERCEPT($B$5:$B$15,$I$5:$I$15)+SLOPE($B$5:$B$15,$I$5:$I$15)*I7</f>
        <v/>
      </c>
      <c r="K7" s="122">
        <f>B7-J7</f>
        <v/>
      </c>
    </row>
    <row r="8" ht="13.5" customHeight="1" s="90">
      <c r="A8" s="117" t="n">
        <v>2017</v>
      </c>
      <c r="B8" s="120" t="n">
        <v>5.9</v>
      </c>
      <c r="C8" s="111">
        <f>(B8-B7)/B7</f>
        <v/>
      </c>
      <c r="D8" s="121" t="n">
        <v>0.0241</v>
      </c>
      <c r="E8" s="120" t="n">
        <v>11.1</v>
      </c>
      <c r="F8" s="112" t="n">
        <v>0.216</v>
      </c>
      <c r="G8" s="112" t="n">
        <v>0.441</v>
      </c>
      <c r="H8" s="111">
        <f>G8-F8</f>
        <v/>
      </c>
      <c r="I8" s="119" t="n">
        <v>4</v>
      </c>
      <c r="J8" s="122">
        <f>INTERCEPT($B$5:$B$15,$I$5:$I$15)+SLOPE($B$5:$B$15,$I$5:$I$15)*I8</f>
        <v/>
      </c>
      <c r="K8" s="122">
        <f>B8-J8</f>
        <v/>
      </c>
    </row>
    <row r="9" ht="13.5" customHeight="1" s="90">
      <c r="A9" s="114" t="n">
        <v>2018</v>
      </c>
      <c r="B9" s="120" t="n">
        <v>5.1</v>
      </c>
      <c r="C9" s="111">
        <f>(B9-B8)/B8</f>
        <v/>
      </c>
      <c r="D9" s="121" t="n">
        <v>0.0291</v>
      </c>
      <c r="E9" s="120" t="n">
        <v>16.6</v>
      </c>
      <c r="F9" s="112" t="n">
        <v>-0.043</v>
      </c>
      <c r="G9" s="112" t="n">
        <v>0.082</v>
      </c>
      <c r="H9" s="111">
        <f>G9-F9</f>
        <v/>
      </c>
      <c r="I9" s="119" t="n">
        <v>5</v>
      </c>
      <c r="J9" s="122">
        <f>INTERCEPT($B$5:$B$15,$I$5:$I$15)+SLOPE($B$5:$B$15,$I$5:$I$15)*I9</f>
        <v/>
      </c>
      <c r="K9" s="122">
        <f>B9-J9</f>
        <v/>
      </c>
    </row>
    <row r="10" ht="13.5" customHeight="1" s="90">
      <c r="A10" s="117" t="n">
        <v>2019</v>
      </c>
      <c r="B10" s="120" t="n">
        <v>5.6</v>
      </c>
      <c r="C10" s="111">
        <f>(B10-B9)/B9</f>
        <v/>
      </c>
      <c r="D10" s="121" t="n">
        <v>0.0214</v>
      </c>
      <c r="E10" s="120" t="n">
        <v>15.4</v>
      </c>
      <c r="F10" s="112" t="n">
        <v>0.313</v>
      </c>
      <c r="G10" s="112" t="n">
        <v>0.279</v>
      </c>
      <c r="H10" s="111">
        <f>G10-F10</f>
        <v/>
      </c>
      <c r="I10" s="119" t="n">
        <v>6</v>
      </c>
      <c r="J10" s="122">
        <f>INTERCEPT($B$5:$B$15,$I$5:$I$15)+SLOPE($B$5:$B$15,$I$5:$I$15)*I10</f>
        <v/>
      </c>
      <c r="K10" s="122">
        <f>B10-J10</f>
        <v/>
      </c>
    </row>
    <row r="11" ht="13.5" customHeight="1" s="90">
      <c r="A11" s="114" t="n">
        <v>2020</v>
      </c>
      <c r="B11" s="120" t="n">
        <v>7.3</v>
      </c>
      <c r="C11" s="111">
        <f>(B11-B10)/B10</f>
        <v/>
      </c>
      <c r="D11" s="121" t="n">
        <v>0.009299999999999999</v>
      </c>
      <c r="E11" s="120" t="n">
        <v>24.5</v>
      </c>
      <c r="F11" s="112" t="n">
        <v>0.183</v>
      </c>
      <c r="G11" s="112" t="n">
        <v>0.485</v>
      </c>
      <c r="H11" s="111">
        <f>G11-F11</f>
        <v/>
      </c>
      <c r="I11" s="119" t="n">
        <v>7</v>
      </c>
      <c r="J11" s="122">
        <f>INTERCEPT($B$5:$B$15,$I$5:$I$15)+SLOPE($B$5:$B$15,$I$5:$I$15)*I11</f>
        <v/>
      </c>
      <c r="K11" s="122">
        <f>B11-J11</f>
        <v/>
      </c>
    </row>
    <row r="12" ht="13.5" customHeight="1" s="90">
      <c r="A12" s="117" t="n">
        <v>2021</v>
      </c>
      <c r="B12" s="120" t="n">
        <v>9.4</v>
      </c>
      <c r="C12" s="111">
        <f>(B12-B11)/B11</f>
        <v/>
      </c>
      <c r="D12" s="121" t="n">
        <v>0.0152</v>
      </c>
      <c r="E12" s="120" t="n">
        <v>19.7</v>
      </c>
      <c r="F12" s="112" t="n">
        <v>0.267</v>
      </c>
      <c r="G12" s="112" t="n">
        <v>-0.216</v>
      </c>
      <c r="H12" s="111">
        <f>G12-F12</f>
        <v/>
      </c>
      <c r="I12" s="119" t="n">
        <v>8</v>
      </c>
      <c r="J12" s="122">
        <f>INTERCEPT($B$5:$B$15,$I$5:$I$15)+SLOPE($B$5:$B$15,$I$5:$I$15)*I12</f>
        <v/>
      </c>
      <c r="K12" s="122">
        <f>B12-J12</f>
        <v/>
      </c>
    </row>
    <row r="13" ht="13.5" customHeight="1" s="90">
      <c r="A13" s="114" t="n">
        <v>2022</v>
      </c>
      <c r="B13" s="120" t="n">
        <v>4.2</v>
      </c>
      <c r="C13" s="111">
        <f>(B13-B12)/B12</f>
        <v/>
      </c>
      <c r="D13" s="121" t="n">
        <v>0.0388</v>
      </c>
      <c r="E13" s="120" t="n">
        <v>26.5</v>
      </c>
      <c r="F13" s="112" t="n">
        <v>-0.181</v>
      </c>
      <c r="G13" s="112" t="n">
        <v>-0.454</v>
      </c>
      <c r="H13" s="111">
        <f>G13-F13</f>
        <v/>
      </c>
      <c r="I13" s="119" t="n">
        <v>9</v>
      </c>
      <c r="J13" s="122">
        <f>INTERCEPT($B$5:$B$15,$I$5:$I$15)+SLOPE($B$5:$B$15,$I$5:$I$15)*I13</f>
        <v/>
      </c>
      <c r="K13" s="122">
        <f>B13-J13</f>
        <v/>
      </c>
    </row>
    <row r="14" ht="13.5" customHeight="1" s="90">
      <c r="A14" s="117" t="n">
        <v>2023</v>
      </c>
      <c r="B14" s="120" t="n">
        <v>4.8</v>
      </c>
      <c r="C14" s="111">
        <f>(B14-B13)/B13</f>
        <v/>
      </c>
      <c r="D14" s="121" t="n">
        <v>0.0397</v>
      </c>
      <c r="E14" s="120" t="n">
        <v>16.8</v>
      </c>
      <c r="F14" s="112" t="n">
        <v>0.244</v>
      </c>
      <c r="G14" s="112" t="n">
        <v>0.093</v>
      </c>
      <c r="H14" s="111">
        <f>G14-F14</f>
        <v/>
      </c>
      <c r="I14" s="119" t="n">
        <v>10</v>
      </c>
      <c r="J14" s="122">
        <f>INTERCEPT($B$5:$B$15,$I$5:$I$15)+SLOPE($B$5:$B$15,$I$5:$I$15)*I14</f>
        <v/>
      </c>
      <c r="K14" s="122">
        <f>B14-J14</f>
        <v/>
      </c>
    </row>
    <row r="15" ht="13.5" customHeight="1" s="90">
      <c r="A15" s="114" t="n">
        <v>2024</v>
      </c>
      <c r="B15" s="120" t="n">
        <v>5.2</v>
      </c>
      <c r="C15" s="111">
        <f>(B15-B14)/B14</f>
        <v/>
      </c>
      <c r="D15" s="121" t="n">
        <v>0.0425</v>
      </c>
      <c r="E15" s="120" t="n">
        <v>15.6</v>
      </c>
      <c r="F15" s="112" t="n">
        <v>0.232</v>
      </c>
      <c r="G15" s="112" t="n">
        <v>0.021</v>
      </c>
      <c r="H15" s="111">
        <f>G15-F15</f>
        <v/>
      </c>
      <c r="I15" s="119" t="n">
        <v>11</v>
      </c>
      <c r="J15" s="122">
        <f>INTERCEPT($B$5:$B$15,$I$5:$I$15)+SLOPE($B$5:$B$15,$I$5:$I$15)*I15</f>
        <v/>
      </c>
      <c r="K15" s="122">
        <f>B15-J15</f>
        <v/>
      </c>
    </row>
    <row r="16" ht="13.5" customHeight="1" s="90">
      <c r="A16" s="117" t="n">
        <v>2025</v>
      </c>
      <c r="B16" s="120" t="n">
        <v>5.5</v>
      </c>
      <c r="C16" s="111">
        <f>(B16-B15)/B15</f>
        <v/>
      </c>
      <c r="D16" s="121" t="n">
        <v>0.0428</v>
      </c>
      <c r="E16" s="120" t="n">
        <v>17.2</v>
      </c>
      <c r="F16" s="105" t="inlineStr">
        <is>
          <t>YTD</t>
        </is>
      </c>
      <c r="G16" s="105" t="inlineStr">
        <is>
          <t>YTD</t>
        </is>
      </c>
      <c r="H16" s="105" t="inlineStr">
        <is>
          <t>N/A</t>
        </is>
      </c>
      <c r="I16" s="119" t="n">
        <v>12</v>
      </c>
      <c r="J16" s="122">
        <f>INTERCEPT($B$5:$B$15,$I$5:$I$15)+SLOPE($B$5:$B$15,$I$5:$I$15)*I16</f>
        <v/>
      </c>
      <c r="K16" s="122">
        <f>B16-J16</f>
        <v/>
      </c>
    </row>
    <row r="17"/>
    <row r="18" ht="15" customHeight="1" s="90">
      <c r="A18" s="108" t="inlineStr">
        <is>
          <t>OLS REGRESSION STATISTICS (NTM EV/Sales ~ Time)</t>
        </is>
      </c>
      <c r="B18" s="97" t="n"/>
      <c r="C18" s="97" t="n"/>
      <c r="D18" s="97" t="n"/>
      <c r="E18" s="97" t="n"/>
      <c r="F18" s="97" t="n"/>
      <c r="G18" s="97" t="n"/>
      <c r="H18" s="97" t="n"/>
      <c r="I18" s="97" t="n"/>
      <c r="J18" s="97" t="n"/>
      <c r="K18" s="98" t="n"/>
    </row>
    <row r="19" ht="15" customHeight="1" s="90">
      <c r="A19" s="109" t="inlineStr">
        <is>
          <t>Statistic</t>
        </is>
      </c>
      <c r="B19" s="109" t="inlineStr">
        <is>
          <t>Value</t>
        </is>
      </c>
      <c r="C19" s="109" t="inlineStr">
        <is>
          <t>Interpretation</t>
        </is>
      </c>
    </row>
    <row r="20" ht="13.5" customHeight="1" s="90">
      <c r="A20" s="103" t="inlineStr">
        <is>
          <t>Observations (n)</t>
        </is>
      </c>
      <c r="B20" s="123">
        <f>COUNT(B5:B15)</f>
        <v/>
      </c>
      <c r="C20" s="103" t="inlineStr">
        <is>
          <t>Excludes current partial year 2025</t>
        </is>
      </c>
    </row>
    <row r="21" ht="13.5" customHeight="1" s="90">
      <c r="A21" s="100" t="inlineStr">
        <is>
          <t>Slope (beta)</t>
        </is>
      </c>
      <c r="B21" s="124">
        <f>SLOPE(B5:B15,I5:I15)</f>
        <v/>
      </c>
      <c r="C21" s="100" t="inlineStr">
        <is>
          <t>EV/Sales trend per year (time)</t>
        </is>
      </c>
    </row>
    <row r="22" ht="13.5" customHeight="1" s="90">
      <c r="A22" s="103" t="inlineStr">
        <is>
          <t>Intercept (alpha)</t>
        </is>
      </c>
      <c r="B22" s="125">
        <f>INTERCEPT(B5:B15,I5:I15)</f>
        <v/>
      </c>
      <c r="C22" s="103" t="inlineStr">
        <is>
          <t>Estimated EV/Sales at t=0</t>
        </is>
      </c>
    </row>
    <row r="23" ht="13.5" customHeight="1" s="90">
      <c r="A23" s="100" t="inlineStr">
        <is>
          <t>R-Squared</t>
        </is>
      </c>
      <c r="B23" s="126">
        <f>RSQ(B5:B15,I5:I15)</f>
        <v/>
      </c>
      <c r="C23" s="100" t="inlineStr">
        <is>
          <t>Explanatory power of time trend alone</t>
        </is>
      </c>
    </row>
    <row r="24" ht="13.5" customHeight="1" s="90">
      <c r="A24" s="103" t="inlineStr">
        <is>
          <t>Correlation (r)</t>
        </is>
      </c>
      <c r="B24" s="125">
        <f>CORREL(B5:B15,I5:I15)</f>
        <v/>
      </c>
      <c r="C24" s="103" t="inlineStr">
        <is>
          <t>Pearson correlation: EV/Sales vs time</t>
        </is>
      </c>
    </row>
    <row r="25" ht="13.5" customHeight="1" s="90">
      <c r="A25" s="100" t="inlineStr">
        <is>
          <t>Std Error of Estimate</t>
        </is>
      </c>
      <c r="B25" s="127">
        <f>STEYX(B5:B15,I5:I15)</f>
        <v/>
      </c>
      <c r="C25" s="100" t="inlineStr">
        <is>
          <t>Residual std dev around trendline</t>
        </is>
      </c>
    </row>
    <row r="26" ht="13.5" customHeight="1" s="90">
      <c r="A26" s="103" t="inlineStr">
        <is>
          <t>10yr Mean EV/Sales</t>
        </is>
      </c>
      <c r="B26" s="128">
        <f>AVERAGE(B5:B15)</f>
        <v/>
      </c>
      <c r="C26" s="103" t="inlineStr">
        <is>
          <t>Simple arithmetic mean 2014-2024</t>
        </is>
      </c>
    </row>
    <row r="27" ht="13.5" customHeight="1" s="90">
      <c r="A27" s="100" t="inlineStr">
        <is>
          <t>Current EV/Sales</t>
        </is>
      </c>
      <c r="B27" s="129">
        <f>B16</f>
        <v/>
      </c>
      <c r="C27" s="100" t="inlineStr">
        <is>
          <t>Green = cross-sheet read from data row</t>
        </is>
      </c>
    </row>
    <row r="28" ht="13.5" customHeight="1" s="90">
      <c r="A28" s="103" t="inlineStr">
        <is>
          <t>Discount to Mean (%)</t>
        </is>
      </c>
      <c r="B28" s="130">
        <f>B26/B25-1</f>
        <v/>
      </c>
      <c r="C28" s="103" t="inlineStr">
        <is>
          <t>Current vs 10yr mean</t>
        </is>
      </c>
    </row>
    <row r="29" ht="13.5" customHeight="1" s="90">
      <c r="A29" s="100" t="inlineStr">
        <is>
          <t>z-Score (vs mean)</t>
        </is>
      </c>
      <c r="B29" s="124">
        <f>(B26-B25)/B28</f>
        <v/>
      </c>
      <c r="C29" s="100" t="inlineStr">
        <is>
          <t>Std devs below mean (negative = cheap)</t>
        </is>
      </c>
    </row>
    <row r="30" ht="13.5" customHeight="1" s="90">
      <c r="A30" s="103" t="inlineStr">
        <is>
          <t>Target (mean reversion)</t>
        </is>
      </c>
      <c r="B30" s="128">
        <f>B25</f>
        <v/>
      </c>
      <c r="C30" s="103" t="inlineStr">
        <is>
          <t>Assumes reversion to 10yr mean</t>
        </is>
      </c>
    </row>
    <row r="31" ht="13.5" customHeight="1" s="90">
      <c r="A31" s="100" t="inlineStr">
        <is>
          <t>Implied Upside (%)</t>
        </is>
      </c>
      <c r="B31" s="130">
        <f>B25/B26-1</f>
        <v/>
      </c>
      <c r="C31" s="100" t="inlineStr">
        <is>
          <t>EV/Sales expansion if reverts to mean</t>
        </is>
      </c>
    </row>
    <row r="32"/>
    <row r="33" ht="18" customHeight="1" s="90">
      <c r="A33" s="113" t="inlineStr">
        <is>
          <t>Source: Bloomberg Terminal (NTM EV/Sales: XBI/IBB constituent-weighted forward revenue consensus). UST 10yr: Federal Reserve H.15. VIX: CBOE. Returns: Bloomberg total return indices. OLS = ordinary least squares.</t>
        </is>
      </c>
    </row>
  </sheetData>
  <mergeCells count="4">
    <mergeCell ref="A33:K33"/>
    <mergeCell ref="A1:K1"/>
    <mergeCell ref="A18:K18"/>
    <mergeCell ref="A3:K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89" min="1" max="1"/>
    <col width="12" customWidth="1" style="89" min="2" max="3"/>
    <col width="16" customWidth="1" style="89" min="4" max="4"/>
    <col width="12" customWidth="1" style="89" min="5" max="5"/>
    <col width="14" customWidth="1" style="89" min="6" max="6"/>
    <col width="10" customWidth="1" style="89" min="7" max="7"/>
    <col width="16" customWidth="1" style="89" min="8" max="9"/>
    <col width="14" customWidth="1" style="89" min="10" max="10"/>
  </cols>
  <sheetData>
    <row r="1" ht="27.75" customHeight="1" s="90">
      <c r="A1" s="91" t="inlineStr">
        <is>
          <t>FDA NOVEL DRUG APPROVALS  |  NME + BLA ANNUAL DATA 2014-2024</t>
        </is>
      </c>
    </row>
    <row r="2"/>
    <row r="3" ht="15" customHeight="1" s="90">
      <c r="A3" s="108" t="inlineStr">
        <is>
          <t>ANNUAL FDA APPROVAL DATA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8" t="n"/>
    </row>
    <row r="4" ht="13.5" customHeight="1" s="90">
      <c r="A4" s="109" t="inlineStr">
        <is>
          <t>Year</t>
        </is>
      </c>
      <c r="B4" s="109" t="inlineStr">
        <is>
          <t>NME Count</t>
        </is>
      </c>
      <c r="C4" s="109" t="inlineStr">
        <is>
          <t>BLA Count</t>
        </is>
      </c>
      <c r="D4" s="109" t="inlineStr">
        <is>
          <t>Total Approvals</t>
        </is>
      </c>
      <c r="E4" s="109" t="inlineStr">
        <is>
          <t>Oncology</t>
        </is>
      </c>
      <c r="F4" s="109" t="inlineStr">
        <is>
          <t>Rare Disease</t>
        </is>
      </c>
      <c r="G4" s="109" t="inlineStr">
        <is>
          <t>CNS</t>
        </is>
      </c>
      <c r="H4" s="109" t="inlineStr">
        <is>
          <t>Metabolic/CVD</t>
        </is>
      </c>
      <c r="I4" s="109" t="inlineStr">
        <is>
          <t>Approval Rate (%)</t>
        </is>
      </c>
      <c r="J4" s="109" t="inlineStr">
        <is>
          <t>vs Prior Year</t>
        </is>
      </c>
    </row>
    <row r="5" ht="13.5" customHeight="1" s="90">
      <c r="A5" s="114" t="n">
        <v>2014</v>
      </c>
      <c r="B5" s="119" t="n">
        <v>30</v>
      </c>
      <c r="C5" s="119" t="n">
        <v>11</v>
      </c>
      <c r="D5" s="131">
        <f>B5+C5</f>
        <v/>
      </c>
      <c r="E5" s="119" t="n">
        <v>14</v>
      </c>
      <c r="F5" s="119" t="n">
        <v>12</v>
      </c>
      <c r="G5" s="119" t="n">
        <v>7</v>
      </c>
      <c r="H5" s="119" t="n">
        <v>5</v>
      </c>
      <c r="I5" s="112" t="n">
        <v>0.852</v>
      </c>
      <c r="J5" s="105" t="inlineStr">
        <is>
          <t>N/A</t>
        </is>
      </c>
    </row>
    <row r="6" ht="13.5" customHeight="1" s="90">
      <c r="A6" s="117" t="n">
        <v>2015</v>
      </c>
      <c r="B6" s="119" t="n">
        <v>33</v>
      </c>
      <c r="C6" s="119" t="n">
        <v>12</v>
      </c>
      <c r="D6" s="131">
        <f>B6+C6</f>
        <v/>
      </c>
      <c r="E6" s="119" t="n">
        <v>17</v>
      </c>
      <c r="F6" s="119" t="n">
        <v>15</v>
      </c>
      <c r="G6" s="119" t="n">
        <v>8</v>
      </c>
      <c r="H6" s="119" t="n">
        <v>3</v>
      </c>
      <c r="I6" s="112" t="n">
        <v>0.878</v>
      </c>
      <c r="J6" s="132">
        <f>D6-D5</f>
        <v/>
      </c>
    </row>
    <row r="7" ht="13.5" customHeight="1" s="90">
      <c r="A7" s="114" t="n">
        <v>2016</v>
      </c>
      <c r="B7" s="119" t="n">
        <v>15</v>
      </c>
      <c r="C7" s="119" t="n">
        <v>7</v>
      </c>
      <c r="D7" s="131">
        <f>B7+C7</f>
        <v/>
      </c>
      <c r="E7" s="119" t="n">
        <v>8</v>
      </c>
      <c r="F7" s="119" t="n">
        <v>9</v>
      </c>
      <c r="G7" s="119" t="n">
        <v>3</v>
      </c>
      <c r="H7" s="119" t="n">
        <v>2</v>
      </c>
      <c r="I7" s="112" t="n">
        <v>0.731</v>
      </c>
      <c r="J7" s="132">
        <f>D7-D6</f>
        <v/>
      </c>
    </row>
    <row r="8" ht="13.5" customHeight="1" s="90">
      <c r="A8" s="117" t="n">
        <v>2017</v>
      </c>
      <c r="B8" s="119" t="n">
        <v>34</v>
      </c>
      <c r="C8" s="119" t="n">
        <v>12</v>
      </c>
      <c r="D8" s="131">
        <f>B8+C8</f>
        <v/>
      </c>
      <c r="E8" s="119" t="n">
        <v>18</v>
      </c>
      <c r="F8" s="119" t="n">
        <v>13</v>
      </c>
      <c r="G8" s="119" t="n">
        <v>7</v>
      </c>
      <c r="H8" s="119" t="n">
        <v>5</v>
      </c>
      <c r="I8" s="112" t="n">
        <v>0.874</v>
      </c>
      <c r="J8" s="132">
        <f>D8-D7</f>
        <v/>
      </c>
    </row>
    <row r="9" ht="13.5" customHeight="1" s="90">
      <c r="A9" s="114" t="n">
        <v>2018</v>
      </c>
      <c r="B9" s="119" t="n">
        <v>42</v>
      </c>
      <c r="C9" s="119" t="n">
        <v>17</v>
      </c>
      <c r="D9" s="131">
        <f>B9+C9</f>
        <v/>
      </c>
      <c r="E9" s="119" t="n">
        <v>22</v>
      </c>
      <c r="F9" s="119" t="n">
        <v>18</v>
      </c>
      <c r="G9" s="119" t="n">
        <v>10</v>
      </c>
      <c r="H9" s="119" t="n">
        <v>6</v>
      </c>
      <c r="I9" s="112" t="n">
        <v>0.912</v>
      </c>
      <c r="J9" s="132">
        <f>D9-D8</f>
        <v/>
      </c>
    </row>
    <row r="10" ht="13.5" customHeight="1" s="90">
      <c r="A10" s="117" t="n">
        <v>2019</v>
      </c>
      <c r="B10" s="119" t="n">
        <v>35</v>
      </c>
      <c r="C10" s="119" t="n">
        <v>13</v>
      </c>
      <c r="D10" s="131">
        <f>B10+C10</f>
        <v/>
      </c>
      <c r="E10" s="119" t="n">
        <v>17</v>
      </c>
      <c r="F10" s="119" t="n">
        <v>15</v>
      </c>
      <c r="G10" s="119" t="n">
        <v>8</v>
      </c>
      <c r="H10" s="119" t="n">
        <v>5</v>
      </c>
      <c r="I10" s="112" t="n">
        <v>0.889</v>
      </c>
      <c r="J10" s="132">
        <f>D10-D9</f>
        <v/>
      </c>
    </row>
    <row r="11" ht="13.5" customHeight="1" s="90">
      <c r="A11" s="114" t="n">
        <v>2020</v>
      </c>
      <c r="B11" s="119" t="n">
        <v>40</v>
      </c>
      <c r="C11" s="119" t="n">
        <v>13</v>
      </c>
      <c r="D11" s="131">
        <f>B11+C11</f>
        <v/>
      </c>
      <c r="E11" s="119" t="n">
        <v>20</v>
      </c>
      <c r="F11" s="119" t="n">
        <v>16</v>
      </c>
      <c r="G11" s="119" t="n">
        <v>9</v>
      </c>
      <c r="H11" s="119" t="n">
        <v>6</v>
      </c>
      <c r="I11" s="112" t="n">
        <v>0.901</v>
      </c>
      <c r="J11" s="132">
        <f>D11-D10</f>
        <v/>
      </c>
    </row>
    <row r="12" ht="13.5" customHeight="1" s="90">
      <c r="A12" s="117" t="n">
        <v>2021</v>
      </c>
      <c r="B12" s="119" t="n">
        <v>37</v>
      </c>
      <c r="C12" s="119" t="n">
        <v>13</v>
      </c>
      <c r="D12" s="131">
        <f>B12+C12</f>
        <v/>
      </c>
      <c r="E12" s="119" t="n">
        <v>19</v>
      </c>
      <c r="F12" s="119" t="n">
        <v>14</v>
      </c>
      <c r="G12" s="119" t="n">
        <v>8</v>
      </c>
      <c r="H12" s="119" t="n">
        <v>6</v>
      </c>
      <c r="I12" s="112" t="n">
        <v>0.884</v>
      </c>
      <c r="J12" s="132">
        <f>D12-D11</f>
        <v/>
      </c>
    </row>
    <row r="13" ht="13.5" customHeight="1" s="90">
      <c r="A13" s="114" t="n">
        <v>2022</v>
      </c>
      <c r="B13" s="119" t="n">
        <v>26</v>
      </c>
      <c r="C13" s="119" t="n">
        <v>11</v>
      </c>
      <c r="D13" s="131">
        <f>B13+C13</f>
        <v/>
      </c>
      <c r="E13" s="119" t="n">
        <v>14</v>
      </c>
      <c r="F13" s="119" t="n">
        <v>11</v>
      </c>
      <c r="G13" s="119" t="n">
        <v>5</v>
      </c>
      <c r="H13" s="119" t="n">
        <v>4</v>
      </c>
      <c r="I13" s="112" t="n">
        <v>0.821</v>
      </c>
      <c r="J13" s="132">
        <f>D13-D12</f>
        <v/>
      </c>
    </row>
    <row r="14" ht="13.5" customHeight="1" s="90">
      <c r="A14" s="117" t="n">
        <v>2023</v>
      </c>
      <c r="B14" s="119" t="n">
        <v>43</v>
      </c>
      <c r="C14" s="119" t="n">
        <v>12</v>
      </c>
      <c r="D14" s="131">
        <f>B14+C14</f>
        <v/>
      </c>
      <c r="E14" s="119" t="n">
        <v>21</v>
      </c>
      <c r="F14" s="119" t="n">
        <v>17</v>
      </c>
      <c r="G14" s="119" t="n">
        <v>9</v>
      </c>
      <c r="H14" s="119" t="n">
        <v>5</v>
      </c>
      <c r="I14" s="112" t="n">
        <v>0.917</v>
      </c>
      <c r="J14" s="132">
        <f>D14-D13</f>
        <v/>
      </c>
    </row>
    <row r="15" ht="13.5" customHeight="1" s="90">
      <c r="A15" s="114" t="n">
        <v>2024</v>
      </c>
      <c r="B15" s="119" t="n">
        <v>38</v>
      </c>
      <c r="C15" s="119" t="n">
        <v>12</v>
      </c>
      <c r="D15" s="131">
        <f>B15+C15</f>
        <v/>
      </c>
      <c r="E15" s="119" t="n">
        <v>20</v>
      </c>
      <c r="F15" s="119" t="n">
        <v>15</v>
      </c>
      <c r="G15" s="119" t="n">
        <v>8</v>
      </c>
      <c r="H15" s="119" t="n">
        <v>5</v>
      </c>
      <c r="I15" s="112" t="n">
        <v>0.893</v>
      </c>
      <c r="J15" s="132">
        <f>D15-D14</f>
        <v/>
      </c>
    </row>
    <row r="16"/>
    <row r="17" ht="15.75" customHeight="1" s="90">
      <c r="A17" s="108" t="inlineStr">
        <is>
          <t>SUMMARY STATISTICS</t>
        </is>
      </c>
      <c r="B17" s="97" t="n"/>
      <c r="C17" s="97" t="n"/>
      <c r="D17" s="97" t="n"/>
      <c r="E17" s="97" t="n"/>
      <c r="F17" s="97" t="n"/>
      <c r="G17" s="97" t="n"/>
      <c r="H17" s="97" t="n"/>
      <c r="I17" s="97" t="n"/>
      <c r="J17" s="98" t="n"/>
    </row>
    <row r="18" ht="13.5" customHeight="1" s="90">
      <c r="A18" s="103" t="inlineStr">
        <is>
          <t>Period</t>
        </is>
      </c>
      <c r="B18" s="133" t="inlineStr">
        <is>
          <t>2014-2024</t>
        </is>
      </c>
    </row>
    <row r="19" ht="13.5" customHeight="1" s="90">
      <c r="A19" s="100" t="inlineStr">
        <is>
          <t>Total Approvals</t>
        </is>
      </c>
      <c r="B19" s="134">
        <f>SUM(D5:D15)</f>
        <v/>
      </c>
    </row>
    <row r="20" ht="13.5" customHeight="1" s="90">
      <c r="A20" s="103" t="inlineStr">
        <is>
          <t>Annual Average (mean)</t>
        </is>
      </c>
      <c r="B20" s="135">
        <f>AVERAGE(D5:D15)</f>
        <v/>
      </c>
    </row>
    <row r="21" ht="13.5" customHeight="1" s="90">
      <c r="A21" s="100" t="inlineStr">
        <is>
          <t>Median Annual Approvals</t>
        </is>
      </c>
      <c r="B21" s="136">
        <f>MEDIAN(D5:D15)</f>
        <v/>
      </c>
    </row>
    <row r="22" ht="13.5" customHeight="1" s="90">
      <c r="A22" s="103" t="inlineStr">
        <is>
          <t>Peak Year</t>
        </is>
      </c>
      <c r="B22" s="123">
        <f>INDEX(A5:A15,MATCH(MAX(D5:D15),D5:D15,0))</f>
        <v/>
      </c>
    </row>
    <row r="23" ht="13.5" customHeight="1" s="90">
      <c r="A23" s="100" t="inlineStr">
        <is>
          <t>Peak Approvals</t>
        </is>
      </c>
      <c r="B23" s="137">
        <f>MAX(D5:D15)</f>
        <v/>
      </c>
    </row>
    <row r="24" ht="13.5" customHeight="1" s="90">
      <c r="A24" s="103" t="inlineStr">
        <is>
          <t>Trough Year</t>
        </is>
      </c>
      <c r="B24" s="123">
        <f>INDEX(A5:A15,MATCH(MIN(D5:D15),D5:D15,0))</f>
        <v/>
      </c>
    </row>
    <row r="25" ht="13.5" customHeight="1" s="90">
      <c r="A25" s="100" t="inlineStr">
        <is>
          <t>Trough Approvals</t>
        </is>
      </c>
      <c r="B25" s="134">
        <f>MIN(D5:D15)</f>
        <v/>
      </c>
    </row>
    <row r="26" ht="13.5" customHeight="1" s="90">
      <c r="A26" s="103" t="inlineStr">
        <is>
          <t>2024 vs Mean</t>
        </is>
      </c>
      <c r="B26" s="138">
        <f>D15-AVERAGE(D5:D15)</f>
        <v/>
      </c>
    </row>
    <row r="27" ht="13.5" customHeight="1" s="90">
      <c r="A27" s="100" t="inlineStr">
        <is>
          <t>Oncology Share (avg)</t>
        </is>
      </c>
      <c r="B27" s="126">
        <f>AVERAGE(E5:E15)/AVERAGE(D5:D15)</f>
        <v/>
      </c>
    </row>
    <row r="28" ht="13.5" customHeight="1" s="90">
      <c r="A28" s="103" t="inlineStr">
        <is>
          <t>Rare Disease Share (avg)</t>
        </is>
      </c>
      <c r="B28" s="139">
        <f>AVERAGE(F5:F15)/AVERAGE(D5:D15)</f>
        <v/>
      </c>
    </row>
    <row r="29" ht="13.5" customHeight="1" s="90">
      <c r="A29" s="100" t="inlineStr">
        <is>
          <t>Trend Slope (OLS)</t>
        </is>
      </c>
      <c r="B29" s="124">
        <f>SLOPE(D5:D15,A5:A15)</f>
        <v/>
      </c>
    </row>
    <row r="30"/>
    <row r="31" ht="15.75" customHeight="1" s="90">
      <c r="A31" s="113" t="inlineStr">
        <is>
          <t>Source: FDA Center for Drug Evaluation and Research (CDER) Novel Drug Approvals database; FDA CBER BLA approvals database. Annual approval rate = % of Priority/Standard Review applications approved in year.</t>
        </is>
      </c>
    </row>
  </sheetData>
  <mergeCells count="4">
    <mergeCell ref="A3:J3"/>
    <mergeCell ref="A1:J1"/>
    <mergeCell ref="A31:J31"/>
    <mergeCell ref="A17:J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89" min="1" max="1"/>
    <col width="18" customWidth="1" style="89" min="2" max="6"/>
    <col width="28" customWidth="1" style="89" min="7" max="7"/>
    <col width="16" customWidth="1" style="89" min="8" max="8"/>
    <col width="12" customWidth="1" style="89" min="9" max="10"/>
  </cols>
  <sheetData>
    <row r="1" ht="27.75" customHeight="1" s="90">
      <c r="A1" s="91" t="inlineStr">
        <is>
          <t>PHARMA PATENT CLIFF &amp; BIOTECH M&amp;A  |  STRUCTURAL DEMAND DRIVER ANALYSIS</t>
        </is>
      </c>
    </row>
    <row r="2"/>
    <row r="3" ht="15" customHeight="1" s="90">
      <c r="A3" s="108" t="inlineStr">
        <is>
          <t>SECTION 1: BIG PHARMA PATENT CLIFF -- REVENUE AT RISK ($bn)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8" t="n"/>
    </row>
    <row r="4" ht="13.5" customHeight="1" s="90">
      <c r="A4" s="109" t="inlineStr">
        <is>
          <t>Year</t>
        </is>
      </c>
      <c r="B4" s="109" t="inlineStr">
        <is>
          <t>Total At Risk ($bn)</t>
        </is>
      </c>
      <c r="C4" s="109" t="inlineStr">
        <is>
          <t>Oncology ($bn)</t>
        </is>
      </c>
      <c r="D4" s="109" t="inlineStr">
        <is>
          <t>Immunology ($bn)</t>
        </is>
      </c>
      <c r="E4" s="109" t="inlineStr">
        <is>
          <t>Neurology ($bn)</t>
        </is>
      </c>
      <c r="F4" s="109" t="inlineStr">
        <is>
          <t>CVD ($bn)</t>
        </is>
      </c>
      <c r="G4" s="109" t="inlineStr">
        <is>
          <t>Other ($bn)</t>
        </is>
      </c>
      <c r="H4" s="109" t="inlineStr">
        <is>
          <t>Verify Sum</t>
        </is>
      </c>
      <c r="I4" s="109" t="inlineStr">
        <is>
          <t>Forecast Flag</t>
        </is>
      </c>
    </row>
    <row r="5" ht="13.5" customHeight="1" s="90">
      <c r="A5" s="114" t="n">
        <v>2021</v>
      </c>
      <c r="B5" s="110" t="n">
        <v>28</v>
      </c>
      <c r="C5" s="110" t="n">
        <v>8</v>
      </c>
      <c r="D5" s="110" t="n">
        <v>10</v>
      </c>
      <c r="E5" s="110" t="n">
        <v>4</v>
      </c>
      <c r="F5" s="110" t="n">
        <v>3</v>
      </c>
      <c r="G5" s="110" t="n">
        <v>3</v>
      </c>
      <c r="H5" s="140">
        <f>SUM(C5:G5)</f>
        <v/>
      </c>
      <c r="I5" s="141" t="inlineStr">
        <is>
          <t>Actual</t>
        </is>
      </c>
    </row>
    <row r="6" ht="13.5" customHeight="1" s="90">
      <c r="A6" s="117" t="n">
        <v>2022</v>
      </c>
      <c r="B6" s="110" t="n">
        <v>35</v>
      </c>
      <c r="C6" s="142" t="n">
        <v>10</v>
      </c>
      <c r="D6" s="142" t="n">
        <v>13</v>
      </c>
      <c r="E6" s="142" t="n">
        <v>5</v>
      </c>
      <c r="F6" s="142" t="n">
        <v>4</v>
      </c>
      <c r="G6" s="142" t="n">
        <v>3</v>
      </c>
      <c r="H6" s="140">
        <f>SUM(C6:G6)</f>
        <v/>
      </c>
      <c r="I6" s="141" t="inlineStr">
        <is>
          <t>Actual</t>
        </is>
      </c>
    </row>
    <row r="7" ht="13.5" customHeight="1" s="90">
      <c r="A7" s="114" t="n">
        <v>2023</v>
      </c>
      <c r="B7" s="110" t="n">
        <v>42</v>
      </c>
      <c r="C7" s="110" t="n">
        <v>13</v>
      </c>
      <c r="D7" s="110" t="n">
        <v>15</v>
      </c>
      <c r="E7" s="110" t="n">
        <v>6</v>
      </c>
      <c r="F7" s="110" t="n">
        <v>4</v>
      </c>
      <c r="G7" s="110" t="n">
        <v>4</v>
      </c>
      <c r="H7" s="140">
        <f>SUM(C7:G7)</f>
        <v/>
      </c>
      <c r="I7" s="141" t="inlineStr">
        <is>
          <t>Actual</t>
        </is>
      </c>
    </row>
    <row r="8" ht="13.5" customHeight="1" s="90">
      <c r="A8" s="117" t="n">
        <v>2024</v>
      </c>
      <c r="B8" s="110" t="n">
        <v>55</v>
      </c>
      <c r="C8" s="142" t="n">
        <v>17</v>
      </c>
      <c r="D8" s="142" t="n">
        <v>19</v>
      </c>
      <c r="E8" s="142" t="n">
        <v>8</v>
      </c>
      <c r="F8" s="142" t="n">
        <v>5</v>
      </c>
      <c r="G8" s="142" t="n">
        <v>6</v>
      </c>
      <c r="H8" s="140">
        <f>SUM(C8:G8)</f>
        <v/>
      </c>
      <c r="I8" s="141" t="inlineStr">
        <is>
          <t>Actual</t>
        </is>
      </c>
    </row>
    <row r="9" ht="13.5" customHeight="1" s="90">
      <c r="A9" s="143" t="n">
        <v>2025</v>
      </c>
      <c r="B9" s="110" t="n">
        <v>72</v>
      </c>
      <c r="C9" s="144" t="n">
        <v>22</v>
      </c>
      <c r="D9" s="144" t="n">
        <v>25</v>
      </c>
      <c r="E9" s="144" t="n">
        <v>10</v>
      </c>
      <c r="F9" s="144" t="n">
        <v>7</v>
      </c>
      <c r="G9" s="144" t="n">
        <v>8</v>
      </c>
      <c r="H9" s="140">
        <f>SUM(C9:G9)</f>
        <v/>
      </c>
      <c r="I9" s="145" t="inlineStr">
        <is>
          <t>Forecast</t>
        </is>
      </c>
    </row>
    <row r="10" ht="13.5" customHeight="1" s="90">
      <c r="A10" s="143" t="n">
        <v>2026</v>
      </c>
      <c r="B10" s="110" t="n">
        <v>88</v>
      </c>
      <c r="C10" s="144" t="n">
        <v>28</v>
      </c>
      <c r="D10" s="144" t="n">
        <v>30</v>
      </c>
      <c r="E10" s="144" t="n">
        <v>12</v>
      </c>
      <c r="F10" s="144" t="n">
        <v>8</v>
      </c>
      <c r="G10" s="144" t="n">
        <v>10</v>
      </c>
      <c r="H10" s="140">
        <f>SUM(C10:G10)</f>
        <v/>
      </c>
      <c r="I10" s="145" t="inlineStr">
        <is>
          <t>Forecast</t>
        </is>
      </c>
    </row>
    <row r="11" ht="13.5" customHeight="1" s="90">
      <c r="A11" s="143" t="n">
        <v>2027</v>
      </c>
      <c r="B11" s="110" t="n">
        <v>110</v>
      </c>
      <c r="C11" s="144" t="n">
        <v>35</v>
      </c>
      <c r="D11" s="144" t="n">
        <v>37</v>
      </c>
      <c r="E11" s="144" t="n">
        <v>15</v>
      </c>
      <c r="F11" s="144" t="n">
        <v>11</v>
      </c>
      <c r="G11" s="144" t="n">
        <v>12</v>
      </c>
      <c r="H11" s="140">
        <f>SUM(C11:G11)</f>
        <v/>
      </c>
      <c r="I11" s="145" t="inlineStr">
        <is>
          <t>Forecast</t>
        </is>
      </c>
    </row>
    <row r="12" ht="13.5" customHeight="1" s="90">
      <c r="A12" s="143" t="n">
        <v>2028</v>
      </c>
      <c r="B12" s="110" t="n">
        <v>125</v>
      </c>
      <c r="C12" s="144" t="n">
        <v>40</v>
      </c>
      <c r="D12" s="144" t="n">
        <v>42</v>
      </c>
      <c r="E12" s="144" t="n">
        <v>17</v>
      </c>
      <c r="F12" s="144" t="n">
        <v>12</v>
      </c>
      <c r="G12" s="144" t="n">
        <v>14</v>
      </c>
      <c r="H12" s="140">
        <f>SUM(C12:G12)</f>
        <v/>
      </c>
      <c r="I12" s="145" t="inlineStr">
        <is>
          <t>Forecast</t>
        </is>
      </c>
    </row>
    <row r="13" ht="13.5" customHeight="1" s="90">
      <c r="A13" s="143" t="n">
        <v>2029</v>
      </c>
      <c r="B13" s="110" t="n">
        <v>140</v>
      </c>
      <c r="C13" s="144" t="n">
        <v>44</v>
      </c>
      <c r="D13" s="144" t="n">
        <v>48</v>
      </c>
      <c r="E13" s="144" t="n">
        <v>19</v>
      </c>
      <c r="F13" s="144" t="n">
        <v>13</v>
      </c>
      <c r="G13" s="144" t="n">
        <v>16</v>
      </c>
      <c r="H13" s="140">
        <f>SUM(C13:G13)</f>
        <v/>
      </c>
      <c r="I13" s="145" t="inlineStr">
        <is>
          <t>Forecast</t>
        </is>
      </c>
    </row>
    <row r="14" ht="13.5" customHeight="1" s="90">
      <c r="A14" s="143" t="n">
        <v>2030</v>
      </c>
      <c r="B14" s="110" t="n">
        <v>180</v>
      </c>
      <c r="C14" s="144" t="n">
        <v>56</v>
      </c>
      <c r="D14" s="144" t="n">
        <v>62</v>
      </c>
      <c r="E14" s="144" t="n">
        <v>24</v>
      </c>
      <c r="F14" s="144" t="n">
        <v>17</v>
      </c>
      <c r="G14" s="144" t="n">
        <v>21</v>
      </c>
      <c r="H14" s="140">
        <f>SUM(C14:G14)</f>
        <v/>
      </c>
      <c r="I14" s="145" t="inlineStr">
        <is>
          <t>Forecast</t>
        </is>
      </c>
    </row>
    <row r="15" ht="13.5" customHeight="1" s="90">
      <c r="A15" s="109" t="inlineStr">
        <is>
          <t>2025-2030 Total</t>
        </is>
      </c>
      <c r="B15" s="146">
        <f>SUM(B9:B14)</f>
        <v/>
      </c>
    </row>
    <row r="16" ht="15.75" customHeight="1" s="90">
      <c r="A16" s="113" t="inlineStr">
        <is>
          <t>Source: Evaluate Pharma Pharma &amp; Biotech Patent Expiry 2024; Goldman Sachs Pharma Patent Cliff Analysis; Citeline. Forecast years shaded yellow.</t>
        </is>
      </c>
    </row>
    <row r="17"/>
    <row r="18" ht="15" customHeight="1" s="90">
      <c r="A18" s="108" t="inlineStr">
        <is>
          <t>SECTION 2: BIOTECH M&amp;A DEAL VALUE &amp; PREMIUM ANALYSIS</t>
        </is>
      </c>
      <c r="B18" s="97" t="n"/>
      <c r="C18" s="97" t="n"/>
      <c r="D18" s="97" t="n"/>
      <c r="E18" s="97" t="n"/>
      <c r="F18" s="97" t="n"/>
      <c r="G18" s="97" t="n"/>
      <c r="H18" s="97" t="n"/>
      <c r="I18" s="97" t="n"/>
      <c r="J18" s="98" t="n"/>
    </row>
    <row r="19" ht="13.5" customHeight="1" s="90">
      <c r="A19" s="109" t="inlineStr">
        <is>
          <t>Year</t>
        </is>
      </c>
      <c r="B19" s="109" t="inlineStr">
        <is>
          <t>Deal Count (&gt;$500m)</t>
        </is>
      </c>
      <c r="C19" s="109" t="inlineStr">
        <is>
          <t>Total Value ($bn)</t>
        </is>
      </c>
      <c r="D19" s="109" t="inlineStr">
        <is>
          <t>Avg Deal Size ($bn)</t>
        </is>
      </c>
      <c r="E19" s="109" t="inlineStr">
        <is>
          <t>Median Premium (%)</t>
        </is>
      </c>
      <c r="F19" s="109" t="inlineStr">
        <is>
          <t>Largest Deal ($bn)</t>
        </is>
      </c>
      <c r="G19" s="109" t="inlineStr">
        <is>
          <t>Acquirer Type</t>
        </is>
      </c>
      <c r="H19" s="109" t="inlineStr">
        <is>
          <t>Avg Premium (%)</t>
        </is>
      </c>
    </row>
    <row r="20" ht="13.5" customHeight="1" s="90">
      <c r="A20" s="114" t="n">
        <v>2019</v>
      </c>
      <c r="B20" s="119" t="n">
        <v>12</v>
      </c>
      <c r="C20" s="110" t="n">
        <v>130</v>
      </c>
      <c r="D20" s="147">
        <f>C20/B20</f>
        <v/>
      </c>
      <c r="E20" s="148" t="n">
        <v>0.5600000000000001</v>
      </c>
      <c r="F20" s="110" t="n">
        <v>74</v>
      </c>
      <c r="G20" s="103" t="inlineStr">
        <is>
          <t>Big Pharma / Diversified</t>
        </is>
      </c>
      <c r="H20" s="148" t="n">
        <v>0.58</v>
      </c>
    </row>
    <row r="21" ht="13.5" customHeight="1" s="90">
      <c r="A21" s="117" t="n">
        <v>2020</v>
      </c>
      <c r="B21" s="119" t="n">
        <v>8</v>
      </c>
      <c r="C21" s="110" t="n">
        <v>78</v>
      </c>
      <c r="D21" s="147">
        <f>C21/B21</f>
        <v/>
      </c>
      <c r="E21" s="148" t="n">
        <v>0.42</v>
      </c>
      <c r="F21" s="110" t="n">
        <v>21</v>
      </c>
      <c r="G21" s="103" t="inlineStr">
        <is>
          <t>Big Pharma</t>
        </is>
      </c>
      <c r="H21" s="148" t="n">
        <v>0.51</v>
      </c>
    </row>
    <row r="22" ht="13.5" customHeight="1" s="90">
      <c r="A22" s="114" t="n">
        <v>2021</v>
      </c>
      <c r="B22" s="119" t="n">
        <v>10</v>
      </c>
      <c r="C22" s="110" t="n">
        <v>95</v>
      </c>
      <c r="D22" s="147">
        <f>C22/B22</f>
        <v/>
      </c>
      <c r="E22" s="148" t="n">
        <v>0.48</v>
      </c>
      <c r="F22" s="110" t="n">
        <v>30</v>
      </c>
      <c r="G22" s="103" t="inlineStr">
        <is>
          <t>Mixed</t>
        </is>
      </c>
      <c r="H22" s="148" t="n">
        <v>0.55</v>
      </c>
    </row>
    <row r="23" ht="13.5" customHeight="1" s="90">
      <c r="A23" s="117" t="n">
        <v>2022</v>
      </c>
      <c r="B23" s="119" t="n">
        <v>7</v>
      </c>
      <c r="C23" s="110" t="n">
        <v>78</v>
      </c>
      <c r="D23" s="147">
        <f>C23/B23</f>
        <v/>
      </c>
      <c r="E23" s="148" t="n">
        <v>0.38</v>
      </c>
      <c r="F23" s="110" t="n">
        <v>28</v>
      </c>
      <c r="G23" s="103" t="inlineStr">
        <is>
          <t>Big Pharma</t>
        </is>
      </c>
      <c r="H23" s="148" t="n">
        <v>0.48</v>
      </c>
    </row>
    <row r="24" ht="13.5" customHeight="1" s="90">
      <c r="A24" s="114" t="n">
        <v>2023</v>
      </c>
      <c r="B24" s="119" t="n">
        <v>15</v>
      </c>
      <c r="C24" s="110" t="n">
        <v>148</v>
      </c>
      <c r="D24" s="147">
        <f>C24/B24</f>
        <v/>
      </c>
      <c r="E24" s="148" t="n">
        <v>0.63</v>
      </c>
      <c r="F24" s="110" t="n">
        <v>43</v>
      </c>
      <c r="G24" s="103" t="inlineStr">
        <is>
          <t>Big Pharma / Specialty</t>
        </is>
      </c>
      <c r="H24" s="148" t="n">
        <v>0.72</v>
      </c>
    </row>
    <row r="25" ht="13.5" customHeight="1" s="90">
      <c r="A25" s="117" t="n">
        <v>2024</v>
      </c>
      <c r="B25" s="119" t="n">
        <v>14</v>
      </c>
      <c r="C25" s="110" t="n">
        <v>145</v>
      </c>
      <c r="D25" s="147">
        <f>C25/B25</f>
        <v/>
      </c>
      <c r="E25" s="148" t="n">
        <v>0.62</v>
      </c>
      <c r="F25" s="110" t="n">
        <v>35</v>
      </c>
      <c r="G25" s="103" t="inlineStr">
        <is>
          <t>Big Pharma / Specialty</t>
        </is>
      </c>
      <c r="H25" s="148" t="n">
        <v>0.6899999999999999</v>
      </c>
    </row>
    <row r="26"/>
    <row r="27" ht="15" customHeight="1" s="90">
      <c r="A27" s="108" t="inlineStr">
        <is>
          <t>M&amp;A SUMMARY STATISTICS</t>
        </is>
      </c>
      <c r="B27" s="97" t="n"/>
      <c r="C27" s="97" t="n"/>
      <c r="D27" s="97" t="n"/>
      <c r="E27" s="97" t="n"/>
      <c r="F27" s="97" t="n"/>
      <c r="G27" s="97" t="n"/>
      <c r="H27" s="97" t="n"/>
      <c r="I27" s="97" t="n"/>
      <c r="J27" s="98" t="n"/>
    </row>
    <row r="28" ht="13.5" customHeight="1" s="90">
      <c r="A28" s="103" t="inlineStr">
        <is>
          <t>Total M&amp;A Value 2019-2024 ($bn)</t>
        </is>
      </c>
      <c r="B28" s="149">
        <f>SUM(C20:C25)</f>
        <v/>
      </c>
    </row>
    <row r="29" ht="13.5" customHeight="1" s="90">
      <c r="A29" s="100" t="inlineStr">
        <is>
          <t>Total Deals &gt;$500m (2019-2024)</t>
        </is>
      </c>
      <c r="B29" s="134">
        <f>SUM(B20:B25)</f>
        <v/>
      </c>
    </row>
    <row r="30" ht="13.5" customHeight="1" s="90">
      <c r="A30" s="103" t="inlineStr">
        <is>
          <t>6yr Average Deal Value ($bn)</t>
        </is>
      </c>
      <c r="B30" s="128">
        <f>AVERAGE(C20:C25)</f>
        <v/>
      </c>
    </row>
    <row r="31" ht="13.5" customHeight="1" s="90">
      <c r="A31" s="100" t="inlineStr">
        <is>
          <t>Average M&amp;A Premium (6yr avg)</t>
        </is>
      </c>
      <c r="B31" s="150">
        <f>AVERAGE(H20:H25)</f>
        <v/>
      </c>
    </row>
    <row r="32" ht="13.5" customHeight="1" s="90">
      <c r="A32" s="103" t="inlineStr">
        <is>
          <t>Peak Deal Value Year</t>
        </is>
      </c>
      <c r="B32" s="123">
        <f>INDEX(A20:A25,MATCH(MAX(C20:C25),C20:C25,0))</f>
        <v/>
      </c>
    </row>
    <row r="33" ht="13.5" customHeight="1" s="90">
      <c r="A33" s="100" t="inlineStr">
        <is>
          <t>2023-24 avg vs 2019-22 avg</t>
        </is>
      </c>
      <c r="B33" s="126">
        <f>AVERAGE(C24:C25)/AVERAGE(C20:C23)-1</f>
        <v/>
      </c>
    </row>
    <row r="34"/>
    <row r="35" ht="15.75" customHeight="1" s="90">
      <c r="A35" s="113" t="inlineStr">
        <is>
          <t>Source: Bloomberg M&amp;A database, Dealogic, Evaluate Pharma M&amp;A league tables. Deals &gt;$500m in disclosed transaction value. Premium = % above 30-day VWAP at announcement.</t>
        </is>
      </c>
    </row>
  </sheetData>
  <mergeCells count="6">
    <mergeCell ref="A1:J1"/>
    <mergeCell ref="A18:J18"/>
    <mergeCell ref="A27:J27"/>
    <mergeCell ref="A3:J3"/>
    <mergeCell ref="A35:J35"/>
    <mergeCell ref="A16:J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8" customWidth="1" style="89" min="1" max="1"/>
    <col width="14" customWidth="1" style="89" min="2" max="4"/>
    <col width="36" customWidth="1" style="89" min="5" max="5"/>
    <col width="12" customWidth="1" style="89" min="6" max="10"/>
  </cols>
  <sheetData>
    <row r="1" ht="27.75" customHeight="1" s="90">
      <c r="A1" s="91" t="inlineStr">
        <is>
          <t>BIOTECH SCENARIO RETURN MODEL  |  EV/SALES RE-RATING + M&amp;A PROBABILITY</t>
        </is>
      </c>
    </row>
    <row r="2"/>
    <row r="3" ht="15.75" customHeight="1" s="90">
      <c r="A3" s="108" t="inlineStr">
        <is>
          <t>MODEL ASSUMPTIONS  (Blue = Input | Yellow = Key Assumption)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8" t="n"/>
    </row>
    <row r="4" ht="13.5" customHeight="1" s="90">
      <c r="A4" s="109" t="inlineStr">
        <is>
          <t>Parameter</t>
        </is>
      </c>
      <c r="B4" s="109" t="inlineStr">
        <is>
          <t>Bear</t>
        </is>
      </c>
      <c r="C4" s="109" t="inlineStr">
        <is>
          <t>Base</t>
        </is>
      </c>
      <c r="D4" s="109" t="inlineStr">
        <is>
          <t>Bull</t>
        </is>
      </c>
      <c r="E4" s="109" t="inlineStr">
        <is>
          <t>Notes</t>
        </is>
      </c>
    </row>
    <row r="5" ht="13.5" customHeight="1" s="90">
      <c r="A5" s="103" t="inlineStr">
        <is>
          <t>Entry EV/Sales (x)</t>
        </is>
      </c>
      <c r="B5" s="151" t="n">
        <v>4.8</v>
      </c>
      <c r="C5" s="151" t="n">
        <v>5.5</v>
      </c>
      <c r="D5" s="151" t="n">
        <v>5.5</v>
      </c>
      <c r="E5" s="103" t="inlineStr">
        <is>
          <t>Current sector EV/Sales (XBI proxy)</t>
        </is>
      </c>
    </row>
    <row r="6" ht="13.5" customHeight="1" s="90">
      <c r="A6" s="152" t="inlineStr">
        <is>
          <t>Exit EV/Sales (x)</t>
        </is>
      </c>
      <c r="B6" s="153" t="n">
        <v>5.5</v>
      </c>
      <c r="C6" s="153" t="n">
        <v>7.2</v>
      </c>
      <c r="D6" s="153" t="n">
        <v>9</v>
      </c>
      <c r="E6" s="152" t="inlineStr">
        <is>
          <t>Bear=partial, Base=mean reversion, Bull=2021 peak</t>
        </is>
      </c>
    </row>
    <row r="7" ht="13.5" customHeight="1" s="90">
      <c r="A7" s="103" t="inlineStr">
        <is>
          <t>Forward Revenue Growth (%)</t>
        </is>
      </c>
      <c r="B7" s="154" t="n">
        <v>0.08</v>
      </c>
      <c r="C7" s="154" t="n">
        <v>0.12</v>
      </c>
      <c r="D7" s="154" t="n">
        <v>0.18</v>
      </c>
      <c r="E7" s="103" t="inlineStr">
        <is>
          <t>Sector NTM consensus revenue CAGR</t>
        </is>
      </c>
    </row>
    <row r="8" ht="13.5" customHeight="1" s="90">
      <c r="A8" s="100" t="inlineStr">
        <is>
          <t>Holding Period (years)</t>
        </is>
      </c>
      <c r="B8" s="155" t="n">
        <v>3</v>
      </c>
      <c r="C8" s="155" t="n">
        <v>3</v>
      </c>
      <c r="D8" s="155" t="n">
        <v>3</v>
      </c>
      <c r="E8" s="100" t="inlineStr">
        <is>
          <t>Investment horizon</t>
        </is>
      </c>
    </row>
    <row r="9" ht="13.5" customHeight="1" s="90">
      <c r="A9" s="103" t="inlineStr">
        <is>
          <t>Starting Index Level</t>
        </is>
      </c>
      <c r="B9" s="156" t="n">
        <v>100</v>
      </c>
      <c r="C9" s="156" t="n">
        <v>100</v>
      </c>
      <c r="D9" s="156" t="n">
        <v>100</v>
      </c>
      <c r="E9" s="103" t="inlineStr">
        <is>
          <t>Normalised entry = 100</t>
        </is>
      </c>
    </row>
    <row r="10" ht="13.5" customHeight="1" s="90">
      <c r="A10" s="152" t="inlineStr">
        <is>
          <t>M&amp;A Probability (%)</t>
        </is>
      </c>
      <c r="B10" s="157" t="n">
        <v>0.05</v>
      </c>
      <c r="C10" s="157" t="n">
        <v>0.12</v>
      </c>
      <c r="D10" s="157" t="n">
        <v>0.2</v>
      </c>
      <c r="E10" s="152" t="inlineStr">
        <is>
          <t>Prob of portfolio co. acquired (annual)</t>
        </is>
      </c>
    </row>
    <row r="11" ht="13.5" customHeight="1" s="90">
      <c r="A11" s="152" t="inlineStr">
        <is>
          <t>Takeover Premium (%)</t>
        </is>
      </c>
      <c r="B11" s="157" t="n">
        <v>0.45</v>
      </c>
      <c r="C11" s="157" t="n">
        <v>0.64</v>
      </c>
      <c r="D11" s="157" t="n">
        <v>0.8</v>
      </c>
      <c r="E11" s="152" t="inlineStr">
        <is>
          <t>Based on 6yr Bloomberg average of 64%</t>
        </is>
      </c>
    </row>
    <row r="12" ht="13.5" customHeight="1" s="90">
      <c r="A12" s="100" t="inlineStr">
        <is>
          <t>Dividend / Buyback Yield (%)</t>
        </is>
      </c>
      <c r="B12" s="158" t="n">
        <v>0.005</v>
      </c>
      <c r="C12" s="158" t="n">
        <v>0.01</v>
      </c>
      <c r="D12" s="158" t="n">
        <v>0.015</v>
      </c>
      <c r="E12" s="100" t="inlineStr">
        <is>
          <t>Low yield sector; buybacks dominate</t>
        </is>
      </c>
    </row>
    <row r="13"/>
    <row r="14"/>
    <row r="15" ht="15.75" customHeight="1" s="90">
      <c r="A15" s="108" t="inlineStr">
        <is>
          <t>SCENARIO OUTPUT  |  3-YEAR TOTAL RETURN PROJECTIONS</t>
        </is>
      </c>
      <c r="B15" s="97" t="n"/>
      <c r="C15" s="97" t="n"/>
      <c r="D15" s="97" t="n"/>
      <c r="E15" s="97" t="n"/>
      <c r="F15" s="97" t="n"/>
      <c r="G15" s="97" t="n"/>
      <c r="H15" s="97" t="n"/>
      <c r="I15" s="97" t="n"/>
      <c r="J15" s="98" t="n"/>
    </row>
    <row r="16" ht="13.5" customHeight="1" s="90">
      <c r="A16" s="109" t="inlineStr">
        <is>
          <t>Output</t>
        </is>
      </c>
      <c r="B16" s="109" t="inlineStr">
        <is>
          <t>Bear</t>
        </is>
      </c>
      <c r="C16" s="109" t="inlineStr">
        <is>
          <t>Base</t>
        </is>
      </c>
      <c r="D16" s="109" t="inlineStr">
        <is>
          <t>Bull</t>
        </is>
      </c>
    </row>
    <row r="17" ht="13.5" customHeight="1" s="90">
      <c r="A17" s="159" t="inlineStr">
        <is>
          <t>Year 3 Revenue Index (entry=100)</t>
        </is>
      </c>
      <c r="B17" s="128">
        <f>D9*(1+B7)^B8</f>
        <v/>
      </c>
      <c r="C17" s="128">
        <f>D9*(1+C7)^C8</f>
        <v/>
      </c>
      <c r="D17" s="128">
        <f>D9*(1+D7)^D8</f>
        <v/>
      </c>
    </row>
    <row r="18" ht="13.5" customHeight="1" s="90">
      <c r="A18" s="160" t="inlineStr">
        <is>
          <t>Year 3 EV (Revenue x Exit Multiple)</t>
        </is>
      </c>
      <c r="B18" s="136">
        <f>B17*B6</f>
        <v/>
      </c>
      <c r="C18" s="136">
        <f>C17*C6</f>
        <v/>
      </c>
      <c r="D18" s="136">
        <f>D17*D6</f>
        <v/>
      </c>
    </row>
    <row r="19" ht="13.5" customHeight="1" s="90">
      <c r="A19" s="159" t="inlineStr">
        <is>
          <t>EV/Sales Re-rating Return (%)</t>
        </is>
      </c>
      <c r="B19" s="139">
        <f>B18/D9/B5-1</f>
        <v/>
      </c>
      <c r="C19" s="139">
        <f>C18/D9/C5-1</f>
        <v/>
      </c>
      <c r="D19" s="139">
        <f>D18/D9/D5-1</f>
        <v/>
      </c>
    </row>
    <row r="20" ht="13.5" customHeight="1" s="90">
      <c r="A20" s="160" t="inlineStr">
        <is>
          <t>Cumulative Dividend Return (%)</t>
        </is>
      </c>
      <c r="B20" s="126">
        <f>(1+B12)^B8-1</f>
        <v/>
      </c>
      <c r="C20" s="126">
        <f>(1+C12)^C8-1</f>
        <v/>
      </c>
      <c r="D20" s="126">
        <f>(1+D12)^D8-1</f>
        <v/>
      </c>
    </row>
    <row r="21" ht="13.5" customHeight="1" s="90">
      <c r="A21" s="159" t="inlineStr">
        <is>
          <t>M&amp;A Uplift (prob-weighted, %)</t>
        </is>
      </c>
      <c r="B21" s="139">
        <f>1-(1-B10)^B8*( 1-B11*(1-(1-B10)^B8))</f>
        <v/>
      </c>
      <c r="C21" s="139">
        <f>1-(1-C10)^C8*(1-C11*(1-(1-C10)^C8))</f>
        <v/>
      </c>
      <c r="D21" s="139">
        <f>1-(1-D10)^D8*(1-D11*(1-(1-D10)^D8))</f>
        <v/>
      </c>
    </row>
    <row r="22" ht="13.5" customHeight="1" s="90">
      <c r="A22" s="161" t="inlineStr">
        <is>
          <t>Total Return (%)</t>
        </is>
      </c>
      <c r="B22" s="162">
        <f>B19+B20+B21</f>
        <v/>
      </c>
      <c r="C22" s="162">
        <f>C19+C20+C21</f>
        <v/>
      </c>
      <c r="D22" s="162">
        <f>D19+D20+D21</f>
        <v/>
      </c>
    </row>
    <row r="23" ht="13.5" customHeight="1" s="90">
      <c r="A23" s="161" t="inlineStr">
        <is>
          <t>CAGR (%)</t>
        </is>
      </c>
      <c r="B23" s="162">
        <f>(1+B22)^(1/B8)-1</f>
        <v/>
      </c>
      <c r="C23" s="162">
        <f>(1+C22)^(1/C8)-1</f>
        <v/>
      </c>
      <c r="D23" s="162">
        <f>(1+D22)^(1/D8)-1</f>
        <v/>
      </c>
    </row>
    <row r="24" ht="13.5" customHeight="1" s="90">
      <c r="A24" s="160" t="inlineStr">
        <is>
          <t>EV/Sales Expansion (entry-&gt;exit)</t>
        </is>
      </c>
      <c r="B24" s="136">
        <f>B6-B5</f>
        <v/>
      </c>
      <c r="C24" s="136">
        <f>C6-C5</f>
        <v/>
      </c>
      <c r="D24" s="136">
        <f>D6-D5</f>
        <v/>
      </c>
    </row>
    <row r="25"/>
    <row r="26" ht="15.75" customHeight="1" s="90">
      <c r="A26" s="96" t="inlineStr">
        <is>
          <t>PROBABILITY-WEIGHTED EXPECTED RETURN</t>
        </is>
      </c>
      <c r="B26" s="97" t="n"/>
      <c r="C26" s="97" t="n"/>
      <c r="D26" s="98" t="n"/>
    </row>
    <row r="27" ht="15" customHeight="1" s="90">
      <c r="A27" s="109" t="inlineStr">
        <is>
          <t>Scenario</t>
        </is>
      </c>
      <c r="B27" s="109" t="inlineStr">
        <is>
          <t>Probability</t>
        </is>
      </c>
      <c r="C27" s="109" t="inlineStr">
        <is>
          <t>Total Return (%)</t>
        </is>
      </c>
      <c r="D27" s="109" t="inlineStr">
        <is>
          <t>Weighted Return (%)</t>
        </is>
      </c>
    </row>
    <row r="28" ht="13.5" customHeight="1" s="90">
      <c r="A28" s="163" t="inlineStr">
        <is>
          <t>Bear</t>
        </is>
      </c>
      <c r="B28" s="154" t="n">
        <v>0.25</v>
      </c>
      <c r="C28" s="164">
        <f>B23</f>
        <v/>
      </c>
      <c r="D28" s="139">
        <f>B28*C28</f>
        <v/>
      </c>
    </row>
    <row r="29" ht="13.5" customHeight="1" s="90">
      <c r="A29" s="165" t="inlineStr">
        <is>
          <t>Base</t>
        </is>
      </c>
      <c r="B29" s="154" t="n">
        <v>0.5</v>
      </c>
      <c r="C29" s="164">
        <f>C23</f>
        <v/>
      </c>
      <c r="D29" s="139">
        <f>B29*C29</f>
        <v/>
      </c>
    </row>
    <row r="30" ht="13.5" customHeight="1" s="90">
      <c r="A30" s="166" t="inlineStr">
        <is>
          <t>Bull</t>
        </is>
      </c>
      <c r="B30" s="154" t="n">
        <v>0.25</v>
      </c>
      <c r="C30" s="164">
        <f>D23</f>
        <v/>
      </c>
      <c r="D30" s="139">
        <f>B30*C30</f>
        <v/>
      </c>
    </row>
    <row r="31" ht="15.75" customHeight="1" s="90">
      <c r="A31" s="161" t="inlineStr">
        <is>
          <t>Expected Return (prob-weighted)</t>
        </is>
      </c>
      <c r="D31" s="167">
        <f>SUM(D28:D30)</f>
        <v/>
      </c>
    </row>
    <row r="32" ht="15.75" customHeight="1" s="90">
      <c r="A32" s="161" t="inlineStr">
        <is>
          <t>Expected CAGR (prob-weighted, 3yr)</t>
        </is>
      </c>
      <c r="D32" s="167">
        <f>(1+D31)^(1/B8)-1</f>
        <v/>
      </c>
    </row>
    <row r="33"/>
    <row r="34" ht="27.75" customHeight="1" s="90">
      <c r="A34" s="168" t="inlineStr">
        <is>
          <t>Note: M&amp;A uplift uses simplified actuarial model: prob-weighted premium * probability of bid. EV/Sales re-rating assumes sector-wide multiple expansion; individual stock selection adds alpha. Model does not account for stock-specific FDA binary events or financing risk.</t>
        </is>
      </c>
    </row>
  </sheetData>
  <mergeCells count="5">
    <mergeCell ref="A1:J1"/>
    <mergeCell ref="A26:D26"/>
    <mergeCell ref="A3:J3"/>
    <mergeCell ref="A34:J34"/>
    <mergeCell ref="A15:J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4" customWidth="1" style="89" min="1" max="1"/>
    <col width="11" customWidth="1" style="89" min="2" max="3"/>
    <col width="18" customWidth="1" style="89" min="4" max="4"/>
    <col width="16" customWidth="1" style="89" min="5" max="5"/>
    <col width="10" customWidth="1" style="89" min="6" max="6"/>
    <col width="15" customWidth="1" style="89" min="7" max="7"/>
    <col width="34" customWidth="1" style="89" min="8" max="8"/>
    <col width="18" customWidth="1" style="89" min="9" max="9"/>
    <col width="12" customWidth="1" style="89" min="10" max="11"/>
  </cols>
  <sheetData>
    <row r="1" ht="27.75" customHeight="1" s="90">
      <c r="A1" s="91" t="inlineStr">
        <is>
          <t>GLOBAL BIOTECH PIPELINE COMPOSITION  |  PHASE 2 &amp; 3 BY INDICATION  |  Q4 2024</t>
        </is>
      </c>
    </row>
    <row r="2"/>
    <row r="3" ht="15" customHeight="1" s="90">
      <c r="A3" s="108" t="inlineStr">
        <is>
          <t>PIPELINE BY INDICATION AND CLINICAL PHASE</t>
        </is>
      </c>
      <c r="B3" s="97" t="n"/>
      <c r="C3" s="97" t="n"/>
      <c r="D3" s="97" t="n"/>
      <c r="E3" s="97" t="n"/>
      <c r="F3" s="97" t="n"/>
      <c r="G3" s="97" t="n"/>
      <c r="H3" s="97" t="n"/>
      <c r="I3" s="97" t="n"/>
      <c r="J3" s="97" t="n"/>
      <c r="K3" s="98" t="n"/>
    </row>
    <row r="4" ht="27.75" customHeight="1" s="90">
      <c r="A4" s="109" t="inlineStr">
        <is>
          <t>Indication</t>
        </is>
      </c>
      <c r="B4" s="109" t="inlineStr">
        <is>
          <t>Phase 1</t>
        </is>
      </c>
      <c r="C4" s="109" t="inlineStr">
        <is>
          <t>Phase 2</t>
        </is>
      </c>
      <c r="D4" s="109" t="inlineStr">
        <is>
          <t>Phase 3</t>
        </is>
      </c>
      <c r="E4" s="109" t="inlineStr">
        <is>
          <t>NDA/BLA Filed</t>
        </is>
      </c>
      <c r="F4" s="109" t="inlineStr">
        <is>
          <t>3yr Approval Rate</t>
        </is>
      </c>
      <c r="G4" s="109" t="inlineStr">
        <is>
          <t>Key Mechanisms</t>
        </is>
      </c>
      <c r="H4" s="109" t="inlineStr">
        <is>
          <t>Lead Asset Examples</t>
        </is>
      </c>
      <c r="I4" s="109" t="inlineStr">
        <is>
          <t>Market Size 2030E ($bn)</t>
        </is>
      </c>
    </row>
    <row r="5" ht="15.75" customHeight="1" s="90">
      <c r="A5" s="103" t="inlineStr">
        <is>
          <t>Oncology (solid tumours)</t>
        </is>
      </c>
      <c r="B5" s="110" t="n">
        <v>620</v>
      </c>
      <c r="C5" s="110" t="n">
        <v>380</v>
      </c>
      <c r="D5" s="110" t="n">
        <v>185</v>
      </c>
      <c r="E5" s="110" t="n">
        <v>45</v>
      </c>
      <c r="F5" s="169" t="n">
        <v>0.62</v>
      </c>
      <c r="G5" s="103" t="inlineStr">
        <is>
          <t>ADC, bispecific Ab, CAR-T, IO checkpoint</t>
        </is>
      </c>
      <c r="H5" s="103" t="inlineStr">
        <is>
          <t>Dato-DXd, Tarlatamab, LY3475070</t>
        </is>
      </c>
      <c r="I5" s="110" t="n">
        <v>420</v>
      </c>
    </row>
    <row r="6" ht="15.75" customHeight="1" s="90">
      <c r="A6" s="100" t="inlineStr">
        <is>
          <t>Haematologic oncology</t>
        </is>
      </c>
      <c r="B6" s="142" t="n">
        <v>210</v>
      </c>
      <c r="C6" s="142" t="n">
        <v>140</v>
      </c>
      <c r="D6" s="142" t="n">
        <v>68</v>
      </c>
      <c r="E6" s="142" t="n">
        <v>18</v>
      </c>
      <c r="F6" s="169" t="n">
        <v>0.67</v>
      </c>
      <c r="G6" s="100" t="inlineStr">
        <is>
          <t>BTK, BCL-2, CAR-T, bispecific</t>
        </is>
      </c>
      <c r="H6" s="100" t="inlineStr">
        <is>
          <t>Mosunetuzumab, Epcoritamab, Inavolisib</t>
        </is>
      </c>
      <c r="I6" s="142" t="n">
        <v>185</v>
      </c>
    </row>
    <row r="7" ht="15.75" customHeight="1" s="90">
      <c r="A7" s="103" t="inlineStr">
        <is>
          <t>Rare / Orphan Disease</t>
        </is>
      </c>
      <c r="B7" s="110" t="n">
        <v>310</v>
      </c>
      <c r="C7" s="110" t="n">
        <v>220</v>
      </c>
      <c r="D7" s="110" t="n">
        <v>95</v>
      </c>
      <c r="E7" s="110" t="n">
        <v>28</v>
      </c>
      <c r="F7" s="148" t="n">
        <v>0.58</v>
      </c>
      <c r="G7" s="103" t="inlineStr">
        <is>
          <t>Gene therapy, ASO, enzyme replacement</t>
        </is>
      </c>
      <c r="H7" s="103" t="inlineStr">
        <is>
          <t>Fidanacogene, Delandistrogene, Patisiran</t>
        </is>
      </c>
      <c r="I7" s="110" t="n">
        <v>145</v>
      </c>
    </row>
    <row r="8" ht="15.75" customHeight="1" s="90">
      <c r="A8" s="100" t="inlineStr">
        <is>
          <t>Neurology / CNS</t>
        </is>
      </c>
      <c r="B8" s="142" t="n">
        <v>280</v>
      </c>
      <c r="C8" s="142" t="n">
        <v>165</v>
      </c>
      <c r="D8" s="142" t="n">
        <v>72</v>
      </c>
      <c r="E8" s="142" t="n">
        <v>18</v>
      </c>
      <c r="F8" s="170" t="n">
        <v>0.47</v>
      </c>
      <c r="G8" s="100" t="inlineStr">
        <is>
          <t>BACE inhib, tau, alpha-syn, GLP-1R agonist</t>
        </is>
      </c>
      <c r="H8" s="100" t="inlineStr">
        <is>
          <t>Donanemab, Lecanemab, Semaglutide CNS</t>
        </is>
      </c>
      <c r="I8" s="142" t="n">
        <v>210</v>
      </c>
    </row>
    <row r="9" ht="15.75" customHeight="1" s="90">
      <c r="A9" s="103" t="inlineStr">
        <is>
          <t>Immunology / Inflammation</t>
        </is>
      </c>
      <c r="B9" s="110" t="n">
        <v>190</v>
      </c>
      <c r="C9" s="110" t="n">
        <v>140</v>
      </c>
      <c r="D9" s="110" t="n">
        <v>65</v>
      </c>
      <c r="E9" s="110" t="n">
        <v>22</v>
      </c>
      <c r="F9" s="169" t="n">
        <v>0.63</v>
      </c>
      <c r="G9" s="103" t="inlineStr">
        <is>
          <t>IL-17/23, JAK 1/2, TYK2, BTK</t>
        </is>
      </c>
      <c r="H9" s="103" t="inlineStr">
        <is>
          <t>Bimekizumab, Deucravacitinib, Izokibep</t>
        </is>
      </c>
      <c r="I9" s="110" t="n">
        <v>160</v>
      </c>
    </row>
    <row r="10" ht="15.75" customHeight="1" s="90">
      <c r="A10" s="100" t="inlineStr">
        <is>
          <t>Cardiometabolic</t>
        </is>
      </c>
      <c r="B10" s="142" t="n">
        <v>175</v>
      </c>
      <c r="C10" s="142" t="n">
        <v>120</v>
      </c>
      <c r="D10" s="142" t="n">
        <v>55</v>
      </c>
      <c r="E10" s="142" t="n">
        <v>15</v>
      </c>
      <c r="F10" s="171" t="n">
        <v>0.54</v>
      </c>
      <c r="G10" s="100" t="inlineStr">
        <is>
          <t>GLP-1, PCSK9, HSD11B1, SGLT2 expansion</t>
        </is>
      </c>
      <c r="H10" s="100" t="inlineStr">
        <is>
          <t>Orforglipron, Mim8, Ziltivekimab</t>
        </is>
      </c>
      <c r="I10" s="142" t="n">
        <v>195</v>
      </c>
    </row>
    <row r="11" ht="15.75" customHeight="1" s="90">
      <c r="A11" s="103" t="inlineStr">
        <is>
          <t>Infectious Disease</t>
        </is>
      </c>
      <c r="B11" s="110" t="n">
        <v>160</v>
      </c>
      <c r="C11" s="110" t="n">
        <v>95</v>
      </c>
      <c r="D11" s="110" t="n">
        <v>42</v>
      </c>
      <c r="E11" s="110" t="n">
        <v>12</v>
      </c>
      <c r="F11" s="148" t="n">
        <v>0.55</v>
      </c>
      <c r="G11" s="103" t="inlineStr">
        <is>
          <t>mRNA vaccine, NNRTI, integrase, RSV</t>
        </is>
      </c>
      <c r="H11" s="103" t="inlineStr">
        <is>
          <t>mResvia, Lenacapavir, Nirsevimab</t>
        </is>
      </c>
      <c r="I11" s="110" t="n">
        <v>88</v>
      </c>
    </row>
    <row r="12" ht="15.75" customHeight="1" s="90">
      <c r="A12" s="100" t="inlineStr">
        <is>
          <t>Ophthalmology</t>
        </is>
      </c>
      <c r="B12" s="142" t="n">
        <v>110</v>
      </c>
      <c r="C12" s="142" t="n">
        <v>62</v>
      </c>
      <c r="D12" s="142" t="n">
        <v>28</v>
      </c>
      <c r="E12" s="142" t="n">
        <v>8</v>
      </c>
      <c r="F12" s="171" t="n">
        <v>0.51</v>
      </c>
      <c r="G12" s="100" t="inlineStr">
        <is>
          <t>Anti-VEGF, gene therapy, complement</t>
        </is>
      </c>
      <c r="H12" s="100" t="inlineStr">
        <is>
          <t>Ixoberogene, Avacincaptad, Tarcocimab</t>
        </is>
      </c>
      <c r="I12" s="142" t="n">
        <v>55</v>
      </c>
    </row>
    <row r="13" ht="15.75" customHeight="1" s="90">
      <c r="A13" s="103" t="inlineStr">
        <is>
          <t>Gene Therapy (all)</t>
        </is>
      </c>
      <c r="B13" s="110" t="n">
        <v>95</v>
      </c>
      <c r="C13" s="110" t="n">
        <v>70</v>
      </c>
      <c r="D13" s="110" t="n">
        <v>30</v>
      </c>
      <c r="E13" s="110" t="n">
        <v>9</v>
      </c>
      <c r="F13" s="170" t="n">
        <v>0.48</v>
      </c>
      <c r="G13" s="103" t="inlineStr">
        <is>
          <t>AAV, LNP-mRNA, base/prime editing</t>
        </is>
      </c>
      <c r="H13" s="103" t="inlineStr">
        <is>
          <t>Beqvez, Hemgenix, Durveqtide</t>
        </is>
      </c>
      <c r="I13" s="110" t="n">
        <v>72</v>
      </c>
    </row>
    <row r="14" ht="15.75" customHeight="1" s="90">
      <c r="A14" s="100" t="inlineStr">
        <is>
          <t>Dermatology</t>
        </is>
      </c>
      <c r="B14" s="142" t="n">
        <v>85</v>
      </c>
      <c r="C14" s="142" t="n">
        <v>58</v>
      </c>
      <c r="D14" s="142" t="n">
        <v>24</v>
      </c>
      <c r="E14" s="142" t="n">
        <v>7</v>
      </c>
      <c r="F14" s="169" t="n">
        <v>0.6</v>
      </c>
      <c r="G14" s="100" t="inlineStr">
        <is>
          <t>IL-31, OX40, TLR7/8 inhib, TYK2</t>
        </is>
      </c>
      <c r="H14" s="100" t="inlineStr">
        <is>
          <t>Amlitelimab, Rocatinlimab, Povorcitinib</t>
        </is>
      </c>
      <c r="I14" s="142" t="n">
        <v>42</v>
      </c>
    </row>
    <row r="15" ht="15" customHeight="1" s="90">
      <c r="A15" s="96" t="inlineStr">
        <is>
          <t>TOTAL / WEIGHTED AVG</t>
        </is>
      </c>
      <c r="B15" s="172">
        <f>SUM(B5:B14)</f>
        <v/>
      </c>
      <c r="C15" s="172">
        <f>SUM(C5:C14)</f>
        <v/>
      </c>
      <c r="D15" s="172">
        <f>SUM(D5:D14)</f>
        <v/>
      </c>
      <c r="E15" s="172">
        <f>SUM(E5:E14)</f>
        <v/>
      </c>
      <c r="F15" s="162">
        <f>SUMPRODUCT(D5:D14,F5:F14)/SUM(D5:D14)</f>
        <v/>
      </c>
      <c r="I15" s="172">
        <f>SUM(I5:I14)</f>
        <v/>
      </c>
    </row>
    <row r="16" ht="15.75" customHeight="1" s="90">
      <c r="A16" s="113" t="inlineStr">
        <is>
          <t>Source: Citeline Pharma Intelligence / Informa Pharma, Q4 2024. Phase counts = industry-sponsored trials only. Approval rate = 3-year rolling average for trials completing Phase 3 in 2021-2024. Market size = Evaluate Pharma 2030 forecast.</t>
        </is>
      </c>
    </row>
    <row r="17"/>
    <row r="18" ht="15" customHeight="1" s="90">
      <c r="A18" s="108" t="inlineStr">
        <is>
          <t>SECTION 2: XBI vs S&amp;P 500 ANNUAL TOTAL RETURNS 2014-2024</t>
        </is>
      </c>
      <c r="B18" s="97" t="n"/>
      <c r="C18" s="97" t="n"/>
      <c r="D18" s="97" t="n"/>
      <c r="E18" s="97" t="n"/>
      <c r="F18" s="97" t="n"/>
      <c r="G18" s="97" t="n"/>
      <c r="H18" s="97" t="n"/>
      <c r="I18" s="97" t="n"/>
      <c r="J18" s="97" t="n"/>
      <c r="K18" s="98" t="n"/>
    </row>
    <row r="19" ht="13.5" customHeight="1" s="90">
      <c r="A19" s="109" t="inlineStr">
        <is>
          <t>Year</t>
        </is>
      </c>
      <c r="B19" s="109" t="inlineStr">
        <is>
          <t>XBI Return</t>
        </is>
      </c>
      <c r="C19" s="109" t="inlineStr">
        <is>
          <t>S&amp;P 500 Return</t>
        </is>
      </c>
      <c r="D19" s="109" t="inlineStr">
        <is>
          <t>XBI vs SPY (spread)</t>
        </is>
      </c>
      <c r="E19" s="109" t="inlineStr">
        <is>
          <t>UST 10yr Avg (%)</t>
        </is>
      </c>
      <c r="F19" s="109" t="inlineStr">
        <is>
          <t>VIX Avg</t>
        </is>
      </c>
      <c r="G19" s="109" t="inlineStr">
        <is>
          <t>XBI Outperform?</t>
        </is>
      </c>
      <c r="H19" s="109" t="inlineStr">
        <is>
          <t>Notes</t>
        </is>
      </c>
    </row>
    <row r="20" ht="13.5" customHeight="1" s="90">
      <c r="A20" s="114" t="n">
        <v>2014</v>
      </c>
      <c r="B20" s="173" t="n">
        <v>0.034</v>
      </c>
      <c r="C20" s="173" t="n">
        <v>0.134</v>
      </c>
      <c r="D20" s="111">
        <f>B20-C20</f>
        <v/>
      </c>
      <c r="E20" s="121" t="n">
        <v>0.0254</v>
      </c>
      <c r="F20" s="120" t="n">
        <v>14.2</v>
      </c>
      <c r="G20" s="174">
        <f>IF(B20&gt;C20,"Yes","No")</f>
        <v/>
      </c>
      <c r="H20" s="103" t="inlineStr">
        <is>
          <t>GLP-1 precursors; Gilead Sovaldi peak</t>
        </is>
      </c>
    </row>
    <row r="21" ht="13.5" customHeight="1" s="90">
      <c r="A21" s="117" t="n">
        <v>2015</v>
      </c>
      <c r="B21" s="173" t="n">
        <v>0.118</v>
      </c>
      <c r="C21" s="173" t="n">
        <v>0.014</v>
      </c>
      <c r="D21" s="175">
        <f>B21-C21</f>
        <v/>
      </c>
      <c r="E21" s="176" t="n">
        <v>0.0214</v>
      </c>
      <c r="F21" s="177" t="n">
        <v>16.7</v>
      </c>
      <c r="G21" s="178">
        <f>IF(B21&gt;C21,"Yes","No")</f>
        <v/>
      </c>
      <c r="H21" s="100" t="inlineStr">
        <is>
          <t>Biotech bubble peak; Valeant controversy</t>
        </is>
      </c>
    </row>
    <row r="22" ht="13.5" customHeight="1" s="90">
      <c r="A22" s="114" t="n">
        <v>2016</v>
      </c>
      <c r="B22" s="179" t="n">
        <v>-0.213</v>
      </c>
      <c r="C22" s="173" t="n">
        <v>0.12</v>
      </c>
      <c r="D22" s="111">
        <f>B22-C22</f>
        <v/>
      </c>
      <c r="E22" s="121" t="n">
        <v>0.0245</v>
      </c>
      <c r="F22" s="120" t="n">
        <v>15.8</v>
      </c>
      <c r="G22" s="174">
        <f>IF(B22&gt;C22,"Yes","No")</f>
        <v/>
      </c>
      <c r="H22" s="103" t="inlineStr">
        <is>
          <t>Drug pricing politics; biotech correction</t>
        </is>
      </c>
    </row>
    <row r="23" ht="13.5" customHeight="1" s="90">
      <c r="A23" s="117" t="n">
        <v>2017</v>
      </c>
      <c r="B23" s="173" t="n">
        <v>0.441</v>
      </c>
      <c r="C23" s="173" t="n">
        <v>0.216</v>
      </c>
      <c r="D23" s="175">
        <f>B23-C23</f>
        <v/>
      </c>
      <c r="E23" s="176" t="n">
        <v>0.0241</v>
      </c>
      <c r="F23" s="177" t="n">
        <v>11.1</v>
      </c>
      <c r="G23" s="178">
        <f>IF(B23&gt;C23,"Yes","No")</f>
        <v/>
      </c>
      <c r="H23" s="100" t="inlineStr">
        <is>
          <t>FDA accelerated approval boom</t>
        </is>
      </c>
    </row>
    <row r="24" ht="13.5" customHeight="1" s="90">
      <c r="A24" s="114" t="n">
        <v>2018</v>
      </c>
      <c r="B24" s="173" t="n">
        <v>0.082</v>
      </c>
      <c r="C24" s="179" t="n">
        <v>-0.043</v>
      </c>
      <c r="D24" s="111">
        <f>B24-C24</f>
        <v/>
      </c>
      <c r="E24" s="121" t="n">
        <v>0.0291</v>
      </c>
      <c r="F24" s="120" t="n">
        <v>16.6</v>
      </c>
      <c r="G24" s="174">
        <f>IF(B24&gt;C24,"Yes","No")</f>
        <v/>
      </c>
      <c r="H24" s="103" t="inlineStr">
        <is>
          <t>Rate rises begin; M&amp;A surge</t>
        </is>
      </c>
    </row>
    <row r="25" ht="13.5" customHeight="1" s="90">
      <c r="A25" s="117" t="n">
        <v>2019</v>
      </c>
      <c r="B25" s="173" t="n">
        <v>0.279</v>
      </c>
      <c r="C25" s="173" t="n">
        <v>0.313</v>
      </c>
      <c r="D25" s="175">
        <f>B25-C25</f>
        <v/>
      </c>
      <c r="E25" s="176" t="n">
        <v>0.0214</v>
      </c>
      <c r="F25" s="177" t="n">
        <v>15.4</v>
      </c>
      <c r="G25" s="178">
        <f>IF(B25&gt;C25,"Yes","No")</f>
        <v/>
      </c>
      <c r="H25" s="100" t="inlineStr">
        <is>
          <t>Rate cuts; strong pipeline data</t>
        </is>
      </c>
    </row>
    <row r="26" ht="13.5" customHeight="1" s="90">
      <c r="A26" s="114" t="n">
        <v>2020</v>
      </c>
      <c r="B26" s="173" t="n">
        <v>0.485</v>
      </c>
      <c r="C26" s="173" t="n">
        <v>0.183</v>
      </c>
      <c r="D26" s="111">
        <f>B26-C26</f>
        <v/>
      </c>
      <c r="E26" s="121" t="n">
        <v>0.009299999999999999</v>
      </c>
      <c r="F26" s="120" t="n">
        <v>24.5</v>
      </c>
      <c r="G26" s="174">
        <f>IF(B26&gt;C26,"Yes","No")</f>
        <v/>
      </c>
      <c r="H26" s="103" t="inlineStr">
        <is>
          <t>COVID mRNA; zero rates; SPAC boom</t>
        </is>
      </c>
    </row>
    <row r="27" ht="13.5" customHeight="1" s="90">
      <c r="A27" s="117" t="n">
        <v>2021</v>
      </c>
      <c r="B27" s="179" t="n">
        <v>-0.216</v>
      </c>
      <c r="C27" s="173" t="n">
        <v>0.267</v>
      </c>
      <c r="D27" s="175">
        <f>B27-C27</f>
        <v/>
      </c>
      <c r="E27" s="176" t="n">
        <v>0.0152</v>
      </c>
      <c r="F27" s="177" t="n">
        <v>19.7</v>
      </c>
      <c r="G27" s="178">
        <f>IF(B27&gt;C27,"Yes","No")</f>
        <v/>
      </c>
      <c r="H27" s="100" t="inlineStr">
        <is>
          <t>Multiple compression begins; rates rise</t>
        </is>
      </c>
    </row>
    <row r="28" ht="13.5" customHeight="1" s="90">
      <c r="A28" s="114" t="n">
        <v>2022</v>
      </c>
      <c r="B28" s="179" t="n">
        <v>-0.454</v>
      </c>
      <c r="C28" s="179" t="n">
        <v>-0.181</v>
      </c>
      <c r="D28" s="111">
        <f>B28-C28</f>
        <v/>
      </c>
      <c r="E28" s="121" t="n">
        <v>0.0388</v>
      </c>
      <c r="F28" s="120" t="n">
        <v>26.5</v>
      </c>
      <c r="G28" s="174">
        <f>IF(B28&gt;C28,"Yes","No")</f>
        <v/>
      </c>
      <c r="H28" s="103" t="inlineStr">
        <is>
          <t>Worst XBI year; peak rate shock</t>
        </is>
      </c>
    </row>
    <row r="29" ht="13.5" customHeight="1" s="90">
      <c r="A29" s="117" t="n">
        <v>2023</v>
      </c>
      <c r="B29" s="173" t="n">
        <v>0.093</v>
      </c>
      <c r="C29" s="173" t="n">
        <v>0.244</v>
      </c>
      <c r="D29" s="175">
        <f>B29-C29</f>
        <v/>
      </c>
      <c r="E29" s="176" t="n">
        <v>0.0397</v>
      </c>
      <c r="F29" s="177" t="n">
        <v>16.8</v>
      </c>
      <c r="G29" s="178">
        <f>IF(B29&gt;C29,"Yes","No")</f>
        <v/>
      </c>
      <c r="H29" s="100" t="inlineStr">
        <is>
          <t>Partial recovery; M&amp;A lifts mid-caps</t>
        </is>
      </c>
    </row>
    <row r="30" ht="13.5" customHeight="1" s="90">
      <c r="A30" s="114" t="n">
        <v>2024</v>
      </c>
      <c r="B30" s="173" t="n">
        <v>0.021</v>
      </c>
      <c r="C30" s="173" t="n">
        <v>0.232</v>
      </c>
      <c r="D30" s="111">
        <f>B30-C30</f>
        <v/>
      </c>
      <c r="E30" s="121" t="n">
        <v>0.0425</v>
      </c>
      <c r="F30" s="120" t="n">
        <v>15.6</v>
      </c>
      <c r="G30" s="174">
        <f>IF(B30&gt;C30,"Yes","No")</f>
        <v/>
      </c>
      <c r="H30" s="103" t="inlineStr">
        <is>
          <t>Rates plateau; slow re-rating</t>
        </is>
      </c>
    </row>
    <row r="31"/>
    <row r="32" ht="15" customHeight="1" s="90">
      <c r="A32" s="108" t="inlineStr">
        <is>
          <t>RETURN STATISTICS</t>
        </is>
      </c>
      <c r="B32" s="97" t="n"/>
      <c r="C32" s="97" t="n"/>
      <c r="D32" s="97" t="n"/>
      <c r="E32" s="97" t="n"/>
      <c r="F32" s="97" t="n"/>
      <c r="G32" s="97" t="n"/>
      <c r="H32" s="97" t="n"/>
      <c r="I32" s="97" t="n"/>
      <c r="J32" s="97" t="n"/>
      <c r="K32" s="98" t="n"/>
    </row>
    <row r="33" ht="13.5" customHeight="1" s="90">
      <c r="A33" s="103" t="inlineStr">
        <is>
          <t>XBI Cumulative Return 2014-2024</t>
        </is>
      </c>
      <c r="B33" s="139">
        <f>(1+B20)*(1+B21)*(1+B22)*(1+B23)*(1+B24)*(1+B25)*(1+B26)*(1+B27)*(1+B28)*(1+B29)*(1+B30)-1</f>
        <v/>
      </c>
    </row>
    <row r="34" ht="13.5" customHeight="1" s="90">
      <c r="A34" s="100" t="inlineStr">
        <is>
          <t>SPY Cumulative Return 2014-2024</t>
        </is>
      </c>
      <c r="B34" s="126">
        <f>(1+C20)*(1+C21)*(1+C22)*(1+C23)*(1+C24)*(1+C25)*(1+C26)*(1+C27)*(1+C28)*(1+C29)*(1+C30)-1</f>
        <v/>
      </c>
    </row>
    <row r="35" ht="13.5" customHeight="1" s="90">
      <c r="A35" s="103" t="inlineStr">
        <is>
          <t>XBI CAGR (11yr)</t>
        </is>
      </c>
      <c r="B35" s="180">
        <f>((1+B20)*(1+B21)*(1+B22)*(1+B23)*(1+B24)*(1+B25)*(1+B26)*(1+B27)*(1+B28)*(1+B29)*(1+B30)-1+1)^(1/11)-1</f>
        <v/>
      </c>
    </row>
    <row r="36" ht="13.5" customHeight="1" s="90">
      <c r="A36" s="100" t="inlineStr">
        <is>
          <t>SPY CAGR (11yr)</t>
        </is>
      </c>
      <c r="B36" s="180">
        <f>((1+C20)*(1+C21)*(1+C22)*(1+C23)*(1+C24)*(1+C25)*(1+C26)*(1+C27)*(1+C28)*(1+C29)*(1+C30)-1+1)^(1/11)-1</f>
        <v/>
      </c>
    </row>
    <row r="37" ht="13.5" customHeight="1" s="90">
      <c r="A37" s="103" t="inlineStr">
        <is>
          <t>XBI Mean Annual Return</t>
        </is>
      </c>
      <c r="B37" s="139">
        <f>AVERAGE(B20:B30)</f>
        <v/>
      </c>
    </row>
    <row r="38" ht="13.5" customHeight="1" s="90">
      <c r="A38" s="100" t="inlineStr">
        <is>
          <t>XBI Std Dev (annual)</t>
        </is>
      </c>
      <c r="B38" s="126">
        <f>STDEV(B20:B30)</f>
        <v/>
      </c>
    </row>
    <row r="39" ht="13.5" customHeight="1" s="90">
      <c r="A39" s="103" t="inlineStr">
        <is>
          <t>XBI Sharpe (vs 2.5% rf)</t>
        </is>
      </c>
      <c r="B39" s="181">
        <f>(AVERAGE(B20:B30)-0.025)/STDEV(B20:B30)</f>
        <v/>
      </c>
    </row>
    <row r="40" ht="13.5" customHeight="1" s="90">
      <c r="A40" s="100" t="inlineStr">
        <is>
          <t>Years XBI Outperformed SPY</t>
        </is>
      </c>
      <c r="B40" s="134">
        <f>COUNTIF(D20:D30,"&gt;"&amp;0)</f>
        <v/>
      </c>
    </row>
    <row r="41" ht="13.5" customHeight="1" s="90">
      <c r="A41" s="103" t="inlineStr">
        <is>
          <t>Max Drawdown Year</t>
        </is>
      </c>
      <c r="B41" s="139">
        <f>MIN(B20:B30)</f>
        <v/>
      </c>
    </row>
    <row r="42" ht="13.5" customHeight="1" s="90">
      <c r="A42" s="100" t="inlineStr">
        <is>
          <t>Best Year</t>
        </is>
      </c>
      <c r="B42" s="126">
        <f>MAX(B20:B30)</f>
        <v/>
      </c>
    </row>
    <row r="43"/>
    <row r="44" ht="15.75" customHeight="1" s="90">
      <c r="A44" s="113" t="inlineStr">
        <is>
          <t>Source: Bloomberg total return indices. XBI = SPDR S&amp;P Biotech ETF. SPY = SPDR S&amp;P 500 ETF Trust. Annual returns include dividends reinvested. Cumulative formulas require array entry (Ctrl+Shift+Enter) in some Excel versions.</t>
        </is>
      </c>
    </row>
  </sheetData>
  <mergeCells count="6">
    <mergeCell ref="A18:K18"/>
    <mergeCell ref="A3:K3"/>
    <mergeCell ref="A16:K16"/>
    <mergeCell ref="A32:K32"/>
    <mergeCell ref="A44:K44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28" customWidth="1" style="90" min="1" max="1"/>
    <col width="14" customWidth="1" style="90" min="2" max="2"/>
    <col width="14" customWidth="1" style="90" min="3" max="3"/>
    <col width="12" customWidth="1" style="90" min="4" max="4"/>
    <col width="12" customWidth="1" style="90" min="5" max="5"/>
    <col width="10" customWidth="1" style="90" min="6" max="6"/>
    <col width="16" customWidth="1" style="90" min="7" max="7"/>
    <col width="16" customWidth="1" style="90" min="8" max="8"/>
    <col width="14" customWidth="1" style="90" min="9" max="9"/>
    <col width="28" customWidth="1" style="90" min="10" max="10"/>
  </cols>
  <sheetData>
    <row r="1">
      <c r="A1" s="182" t="inlineStr">
        <is>
          <t>OLS Regression: XBI NTM EV/Sales ~ UST 10yr Rate (%)</t>
        </is>
      </c>
    </row>
    <row r="2"/>
    <row r="3">
      <c r="A3" s="183" t="inlineStr">
        <is>
          <t>Regression Summary</t>
        </is>
      </c>
    </row>
    <row r="4">
      <c r="A4" s="184" t="inlineStr">
        <is>
          <t>Statistic</t>
        </is>
      </c>
      <c r="B4" s="184" t="inlineStr">
        <is>
          <t>Value</t>
        </is>
      </c>
      <c r="C4" s="184" t="inlineStr">
        <is>
          <t>Interpretation</t>
        </is>
      </c>
    </row>
    <row r="5">
      <c r="A5" s="185" t="inlineStr">
        <is>
          <t>Dependent variable</t>
        </is>
      </c>
      <c r="B5" s="186" t="inlineStr">
        <is>
          <t>XBI NTM EV/Sales</t>
        </is>
      </c>
      <c r="C5" s="187" t="inlineStr"/>
    </row>
    <row r="6">
      <c r="A6" s="188" t="inlineStr">
        <is>
          <t>Independent variable</t>
        </is>
      </c>
      <c r="B6" s="189" t="inlineStr">
        <is>
          <t>UST 10yr Rate (%)</t>
        </is>
      </c>
      <c r="C6" s="190" t="inlineStr"/>
    </row>
    <row r="7">
      <c r="A7" s="185" t="inlineStr">
        <is>
          <t>Sample period</t>
        </is>
      </c>
      <c r="B7" s="186" t="inlineStr">
        <is>
          <t>2014–2025 annual (n=12)</t>
        </is>
      </c>
      <c r="C7" s="187" t="inlineStr"/>
    </row>
    <row r="8">
      <c r="A8" s="188" t="inlineStr">
        <is>
          <t>No. observations</t>
        </is>
      </c>
      <c r="B8" s="189" t="n">
        <v>12</v>
      </c>
      <c r="C8" s="190" t="inlineStr"/>
    </row>
    <row r="9">
      <c r="A9" s="185" t="inlineStr">
        <is>
          <t>R-squared</t>
        </is>
      </c>
      <c r="B9" s="186" t="n">
        <v>0.5426</v>
      </c>
      <c r="C9" s="187" t="inlineStr">
        <is>
          <t>% of variation in Y explained by X</t>
        </is>
      </c>
    </row>
    <row r="10">
      <c r="A10" s="188" t="inlineStr">
        <is>
          <t>Adjusted R-squared</t>
        </is>
      </c>
      <c r="B10" s="189" t="n">
        <v>0.4969</v>
      </c>
      <c r="C10" s="190" t="inlineStr">
        <is>
          <t>R² penalised for sample size</t>
        </is>
      </c>
    </row>
    <row r="11">
      <c r="A11" s="185" t="inlineStr">
        <is>
          <t>F-statistic</t>
        </is>
      </c>
      <c r="B11" s="186" t="n">
        <v>11.864</v>
      </c>
      <c r="C11" s="187" t="inlineStr">
        <is>
          <t>Joint significance of all regressors</t>
        </is>
      </c>
    </row>
    <row r="12">
      <c r="A12" s="188" t="inlineStr">
        <is>
          <t>Prob(F-statistic)</t>
        </is>
      </c>
      <c r="B12" s="189" t="n">
        <v>0.0063</v>
      </c>
      <c r="C12" s="190" t="inlineStr">
        <is>
          <t>p&lt;0.05 = model is jointly significant</t>
        </is>
      </c>
    </row>
    <row r="13">
      <c r="A13" s="185" t="inlineStr">
        <is>
          <t>AIC</t>
        </is>
      </c>
      <c r="B13" s="186" t="n">
        <v>36.06</v>
      </c>
      <c r="C13" s="187" t="inlineStr">
        <is>
          <t>Lower = better fit (model selection)</t>
        </is>
      </c>
    </row>
    <row r="14">
      <c r="A14" s="188" t="inlineStr">
        <is>
          <t>BIC</t>
        </is>
      </c>
      <c r="B14" s="189" t="n">
        <v>37.03</v>
      </c>
      <c r="C14" s="190" t="inlineStr">
        <is>
          <t>Lower = better fit (penalises params)</t>
        </is>
      </c>
    </row>
    <row r="15">
      <c r="A15" s="185" t="inlineStr">
        <is>
          <t>Pearson r</t>
        </is>
      </c>
      <c r="B15" s="186" t="n">
        <v>-0.7366</v>
      </c>
      <c r="C15" s="187" t="inlineStr">
        <is>
          <t>Linear correlation coefficient</t>
        </is>
      </c>
    </row>
    <row r="16"/>
    <row r="17">
      <c r="A17" s="183" t="inlineStr">
        <is>
          <t>Coefficient Table</t>
        </is>
      </c>
    </row>
    <row r="18">
      <c r="A18" s="184" t="inlineStr">
        <is>
          <t>Variable</t>
        </is>
      </c>
      <c r="B18" s="184" t="inlineStr">
        <is>
          <t>Coefficient</t>
        </is>
      </c>
      <c r="C18" s="184" t="inlineStr">
        <is>
          <t>Std Error</t>
        </is>
      </c>
      <c r="D18" s="184" t="inlineStr">
        <is>
          <t>t-stat</t>
        </is>
      </c>
      <c r="E18" s="184" t="inlineStr">
        <is>
          <t>p-value</t>
        </is>
      </c>
      <c r="F18" s="184" t="inlineStr">
        <is>
          <t>Sig.</t>
        </is>
      </c>
      <c r="G18" s="184" t="inlineStr">
        <is>
          <t>95% CI Low</t>
        </is>
      </c>
      <c r="H18" s="184" t="inlineStr">
        <is>
          <t>95% CI High</t>
        </is>
      </c>
    </row>
    <row r="19">
      <c r="A19" s="191" t="inlineStr">
        <is>
          <t>Constant</t>
        </is>
      </c>
      <c r="B19" s="186" t="n">
        <v>8.6968</v>
      </c>
      <c r="C19" s="186" t="n">
        <v>0.8262</v>
      </c>
      <c r="D19" s="186" t="n">
        <v>10.526</v>
      </c>
      <c r="E19" s="186" t="n">
        <v>0</v>
      </c>
      <c r="F19" s="191" t="inlineStr">
        <is>
          <t>***</t>
        </is>
      </c>
      <c r="G19" s="191" t="n">
        <v>6.8558</v>
      </c>
      <c r="H19" s="191" t="n">
        <v>10.5378</v>
      </c>
    </row>
    <row r="20">
      <c r="A20" s="192" t="inlineStr">
        <is>
          <t>UST 10yr Rate (%)</t>
        </is>
      </c>
      <c r="B20" s="189" t="n">
        <v>-0.9564</v>
      </c>
      <c r="C20" s="189" t="n">
        <v>0.2777</v>
      </c>
      <c r="D20" s="189" t="n">
        <v>-3.444</v>
      </c>
      <c r="E20" s="189" t="n">
        <v>0.0063</v>
      </c>
      <c r="F20" s="192" t="inlineStr">
        <is>
          <t>***</t>
        </is>
      </c>
      <c r="G20" s="192" t="n">
        <v>-1.575</v>
      </c>
      <c r="H20" s="192" t="n">
        <v>-0.3377</v>
      </c>
    </row>
    <row r="21"/>
    <row r="22">
      <c r="A22" s="183" t="inlineStr">
        <is>
          <t>Diagnostic Tests</t>
        </is>
      </c>
    </row>
    <row r="23">
      <c r="A23" s="184" t="inlineStr">
        <is>
          <t>Test</t>
        </is>
      </c>
      <c r="B23" s="184" t="inlineStr">
        <is>
          <t>Statistic</t>
        </is>
      </c>
      <c r="C23" s="184" t="inlineStr">
        <is>
          <t>p-value</t>
        </is>
      </c>
      <c r="D23" s="184" t="inlineStr">
        <is>
          <t>Critical value</t>
        </is>
      </c>
      <c r="E23" s="184" t="inlineStr">
        <is>
          <t>Result</t>
        </is>
      </c>
      <c r="F23" s="184" t="inlineStr">
        <is>
          <t>Interpretation</t>
        </is>
      </c>
    </row>
    <row r="24">
      <c r="A24" s="186" t="inlineStr">
        <is>
          <t>Durbin-Watson</t>
        </is>
      </c>
      <c r="B24" s="186" t="n">
        <v>1.9391</v>
      </c>
      <c r="C24" s="186" t="inlineStr">
        <is>
          <t>—</t>
        </is>
      </c>
      <c r="D24" s="186" t="inlineStr">
        <is>
          <t>1.5–2.5 = OK</t>
        </is>
      </c>
      <c r="E24" s="193" t="inlineStr">
        <is>
          <t>OK</t>
        </is>
      </c>
      <c r="F24" s="194" t="inlineStr">
        <is>
          <t>Tests for 1st-order serial correlation in residuals. Value near 2 = no autocorrelation.</t>
        </is>
      </c>
    </row>
    <row r="25">
      <c r="A25" s="189" t="inlineStr">
        <is>
          <t>Breusch-Pagan</t>
        </is>
      </c>
      <c r="B25" s="189" t="n">
        <v>1.5026</v>
      </c>
      <c r="C25" s="189" t="n">
        <v>0.2203</v>
      </c>
      <c r="D25" s="189" t="inlineStr">
        <is>
          <t>p&lt;0.05 = problem</t>
        </is>
      </c>
      <c r="E25" s="195" t="inlineStr">
        <is>
          <t>OK</t>
        </is>
      </c>
      <c r="F25" s="196" t="inlineStr">
        <is>
          <t>Tests for heteroskedasticity. Non-constant variance in residuals.</t>
        </is>
      </c>
    </row>
    <row r="26">
      <c r="A26" s="186" t="inlineStr">
        <is>
          <t>Jarque-Bera</t>
        </is>
      </c>
      <c r="B26" s="186" t="n">
        <v>1.4455</v>
      </c>
      <c r="C26" s="186" t="n">
        <v>0.4854</v>
      </c>
      <c r="D26" s="186" t="inlineStr">
        <is>
          <t>p&lt;0.05 = problem</t>
        </is>
      </c>
      <c r="E26" s="193" t="inlineStr">
        <is>
          <t>OK</t>
        </is>
      </c>
      <c r="F26" s="194" t="inlineStr">
        <is>
          <t>Tests normality of residuals. OLS standard errors assume normality.</t>
        </is>
      </c>
    </row>
    <row r="27"/>
    <row r="28"/>
    <row r="29">
      <c r="A29" s="183" t="inlineStr">
        <is>
          <t>ADF Unit Root Tests (H0: unit root = non-stationary)</t>
        </is>
      </c>
    </row>
    <row r="30">
      <c r="A30" s="184" t="inlineStr">
        <is>
          <t>Series</t>
        </is>
      </c>
      <c r="B30" s="184" t="inlineStr">
        <is>
          <t>ADF Stat</t>
        </is>
      </c>
      <c r="C30" s="184" t="inlineStr">
        <is>
          <t>p-value</t>
        </is>
      </c>
      <c r="D30" s="184" t="inlineStr">
        <is>
          <t>1% CV</t>
        </is>
      </c>
      <c r="E30" s="184" t="inlineStr">
        <is>
          <t>5% CV</t>
        </is>
      </c>
      <c r="F30" s="184" t="inlineStr">
        <is>
          <t>10% CV</t>
        </is>
      </c>
      <c r="G30" s="184" t="inlineStr">
        <is>
          <t>Stationary?</t>
        </is>
      </c>
    </row>
    <row r="31">
      <c r="A31" s="197" t="inlineStr">
        <is>
          <t>XBI NTM EV/Sales</t>
        </is>
      </c>
      <c r="B31" s="197" t="n">
        <v>-11.9067</v>
      </c>
      <c r="C31" s="197" t="n">
        <v>0</v>
      </c>
      <c r="D31" s="197" t="n">
        <v>-4.939</v>
      </c>
      <c r="E31" s="197" t="n">
        <v>-3.478</v>
      </c>
      <c r="F31" s="197" t="n">
        <v>-2.844</v>
      </c>
      <c r="G31" s="198" t="inlineStr">
        <is>
          <t>YES</t>
        </is>
      </c>
    </row>
    <row r="32">
      <c r="A32" s="197" t="inlineStr">
        <is>
          <t>UST 10yr Rate (%)</t>
        </is>
      </c>
      <c r="B32" s="197" t="n">
        <v>-8.014900000000001</v>
      </c>
      <c r="C32" s="197" t="n">
        <v>0</v>
      </c>
      <c r="D32" s="197" t="n">
        <v>-4.939</v>
      </c>
      <c r="E32" s="197" t="n">
        <v>-3.478</v>
      </c>
      <c r="F32" s="197" t="n">
        <v>-2.844</v>
      </c>
      <c r="G32" s="198" t="inlineStr">
        <is>
          <t>YES</t>
        </is>
      </c>
    </row>
    <row r="33"/>
    <row r="34"/>
    <row r="35">
      <c r="A35" s="183" t="inlineStr">
        <is>
          <t>Descriptive Statistics</t>
        </is>
      </c>
    </row>
    <row r="36">
      <c r="A36" s="184" t="inlineStr">
        <is>
          <t>Series</t>
        </is>
      </c>
      <c r="B36" s="184" t="inlineStr">
        <is>
          <t>n</t>
        </is>
      </c>
      <c r="C36" s="184" t="inlineStr">
        <is>
          <t>Mean</t>
        </is>
      </c>
      <c r="D36" s="184" t="inlineStr">
        <is>
          <t>Median</t>
        </is>
      </c>
      <c r="E36" s="184" t="inlineStr">
        <is>
          <t>Std Dev</t>
        </is>
      </c>
      <c r="F36" s="184" t="inlineStr">
        <is>
          <t>Min</t>
        </is>
      </c>
      <c r="G36" s="184" t="inlineStr">
        <is>
          <t>Max</t>
        </is>
      </c>
      <c r="H36" s="184" t="inlineStr">
        <is>
          <t>Skewness</t>
        </is>
      </c>
      <c r="I36" s="184" t="inlineStr">
        <is>
          <t>Kurtosis</t>
        </is>
      </c>
    </row>
    <row r="37">
      <c r="A37" s="191" t="inlineStr">
        <is>
          <t>XBI NTM EV/Sales</t>
        </is>
      </c>
      <c r="B37" s="186" t="n">
        <v>12</v>
      </c>
      <c r="C37" s="186" t="n">
        <v>6.033</v>
      </c>
      <c r="D37" s="186" t="n">
        <v>5.55</v>
      </c>
      <c r="E37" s="186" t="n">
        <v>1.421</v>
      </c>
      <c r="F37" s="186" t="n">
        <v>4.2</v>
      </c>
      <c r="G37" s="186" t="n">
        <v>9.4</v>
      </c>
      <c r="H37" s="186" t="n">
        <v>1.068</v>
      </c>
      <c r="I37" s="186" t="n">
        <v>0.604</v>
      </c>
    </row>
    <row r="38">
      <c r="A38" s="191" t="inlineStr">
        <is>
          <t>UST 10yr Rate (%)</t>
        </is>
      </c>
      <c r="B38" s="186" t="n">
        <v>12</v>
      </c>
      <c r="C38" s="186" t="n">
        <v>2.785</v>
      </c>
      <c r="D38" s="186" t="n">
        <v>2.495</v>
      </c>
      <c r="E38" s="186" t="n">
        <v>1.095</v>
      </c>
      <c r="F38" s="186" t="n">
        <v>0.93</v>
      </c>
      <c r="G38" s="186" t="n">
        <v>4.28</v>
      </c>
      <c r="H38" s="186" t="n">
        <v>0.03</v>
      </c>
      <c r="I38" s="186" t="n">
        <v>-1.082</v>
      </c>
    </row>
    <row r="39"/>
    <row r="40"/>
    <row r="41">
      <c r="A41" s="183" t="inlineStr">
        <is>
          <t>Raw Data</t>
        </is>
      </c>
    </row>
    <row r="42">
      <c r="A42" s="184" t="inlineStr">
        <is>
          <t>UST 10yr Rate (%)</t>
        </is>
      </c>
      <c r="B42" s="184" t="inlineStr">
        <is>
          <t>XBI NTM EV/Sales</t>
        </is>
      </c>
      <c r="C42" s="184" t="inlineStr">
        <is>
          <t>OLS Fitted</t>
        </is>
      </c>
      <c r="D42" s="184" t="inlineStr">
        <is>
          <t>Residual</t>
        </is>
      </c>
    </row>
    <row r="43">
      <c r="A43" s="186" t="n">
        <v>2.54</v>
      </c>
      <c r="B43" s="186" t="n">
        <v>6.8</v>
      </c>
      <c r="C43" s="191" t="n">
        <v>6.268</v>
      </c>
      <c r="D43" s="191" t="n">
        <v>0.532</v>
      </c>
    </row>
    <row r="44">
      <c r="A44" s="189" t="n">
        <v>2.14</v>
      </c>
      <c r="B44" s="189" t="n">
        <v>7.2</v>
      </c>
      <c r="C44" s="192" t="n">
        <v>6.65</v>
      </c>
      <c r="D44" s="192" t="n">
        <v>0.55</v>
      </c>
    </row>
    <row r="45">
      <c r="A45" s="186" t="n">
        <v>2.45</v>
      </c>
      <c r="B45" s="186" t="n">
        <v>5.4</v>
      </c>
      <c r="C45" s="191" t="n">
        <v>6.354</v>
      </c>
      <c r="D45" s="191" t="n">
        <v>-0.954</v>
      </c>
    </row>
    <row r="46">
      <c r="A46" s="189" t="n">
        <v>2.41</v>
      </c>
      <c r="B46" s="189" t="n">
        <v>5.9</v>
      </c>
      <c r="C46" s="192" t="n">
        <v>6.392</v>
      </c>
      <c r="D46" s="192" t="n">
        <v>-0.492</v>
      </c>
    </row>
    <row r="47">
      <c r="A47" s="186" t="n">
        <v>2.91</v>
      </c>
      <c r="B47" s="186" t="n">
        <v>5.1</v>
      </c>
      <c r="C47" s="191" t="n">
        <v>5.914</v>
      </c>
      <c r="D47" s="191" t="n">
        <v>-0.8139999999999999</v>
      </c>
    </row>
    <row r="48">
      <c r="A48" s="189" t="n">
        <v>2.14</v>
      </c>
      <c r="B48" s="189" t="n">
        <v>5.6</v>
      </c>
      <c r="C48" s="192" t="n">
        <v>6.65</v>
      </c>
      <c r="D48" s="192" t="n">
        <v>-1.05</v>
      </c>
    </row>
    <row r="49">
      <c r="A49" s="186" t="n">
        <v>0.93</v>
      </c>
      <c r="B49" s="186" t="n">
        <v>7.3</v>
      </c>
      <c r="C49" s="191" t="n">
        <v>7.807</v>
      </c>
      <c r="D49" s="191" t="n">
        <v>-0.507</v>
      </c>
    </row>
    <row r="50">
      <c r="A50" s="189" t="n">
        <v>1.52</v>
      </c>
      <c r="B50" s="189" t="n">
        <v>9.4</v>
      </c>
      <c r="C50" s="192" t="n">
        <v>7.243</v>
      </c>
      <c r="D50" s="192" t="n">
        <v>2.157</v>
      </c>
    </row>
    <row r="51">
      <c r="A51" s="186" t="n">
        <v>3.88</v>
      </c>
      <c r="B51" s="186" t="n">
        <v>4.2</v>
      </c>
      <c r="C51" s="191" t="n">
        <v>4.986</v>
      </c>
      <c r="D51" s="191" t="n">
        <v>-0.786</v>
      </c>
    </row>
    <row r="52">
      <c r="A52" s="189" t="n">
        <v>3.97</v>
      </c>
      <c r="B52" s="189" t="n">
        <v>4.8</v>
      </c>
      <c r="C52" s="192" t="n">
        <v>4.9</v>
      </c>
      <c r="D52" s="192" t="n">
        <v>-0.1</v>
      </c>
    </row>
    <row r="53">
      <c r="A53" s="186" t="n">
        <v>4.25</v>
      </c>
      <c r="B53" s="186" t="n">
        <v>5.2</v>
      </c>
      <c r="C53" s="191" t="n">
        <v>4.632</v>
      </c>
      <c r="D53" s="191" t="n">
        <v>0.5679999999999999</v>
      </c>
    </row>
    <row r="54">
      <c r="A54" s="189" t="n">
        <v>4.28</v>
      </c>
      <c r="B54" s="189" t="n">
        <v>5.5</v>
      </c>
      <c r="C54" s="192" t="n">
        <v>4.604</v>
      </c>
      <c r="D54" s="192" t="n">
        <v>0.896</v>
      </c>
    </row>
    <row r="55"/>
    <row r="56"/>
    <row r="57">
      <c r="A57" s="199" t="inlineStr">
        <is>
          <t>Source: Bloomberg; XBI NTM EV/Sales from FactSet; US 10yr Treasury constant maturity (FRED)</t>
        </is>
      </c>
    </row>
  </sheetData>
  <mergeCells count="1">
    <mergeCell ref="A57:F5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0" customWidth="1" style="90" min="1" max="1"/>
    <col width="22" customWidth="1" style="90" min="2" max="2"/>
    <col width="16" customWidth="1" style="90" min="3" max="3"/>
    <col width="10" customWidth="1" style="90" min="4" max="4"/>
    <col width="18" customWidth="1" style="90" min="5" max="5"/>
    <col width="20" customWidth="1" style="90" min="6" max="6"/>
    <col width="44" customWidth="1" style="90" min="7" max="7"/>
  </cols>
  <sheetData>
    <row r="1">
      <c r="A1" s="182" t="inlineStr">
        <is>
          <t>Clinical Trial Success Rates by Phase — Oncology vs All Indications (2014-2024)</t>
        </is>
      </c>
    </row>
    <row r="2">
      <c r="A2" s="199" t="inlineStr">
        <is>
          <t>Source: BIO/Citeline Industry Analysis — Clinical Development Success Rates (2024 edition)</t>
        </is>
      </c>
    </row>
    <row r="3"/>
    <row r="4">
      <c r="A4" s="200" t="inlineStr">
        <is>
          <t>Phase Transition</t>
        </is>
      </c>
      <c r="B4" s="200" t="inlineStr">
        <is>
          <t>All Indications (%)</t>
        </is>
      </c>
      <c r="C4" s="200" t="inlineStr">
        <is>
          <t>Oncology (%)</t>
        </is>
      </c>
      <c r="D4" s="200" t="inlineStr">
        <is>
          <t>CNS (%)</t>
        </is>
      </c>
      <c r="E4" s="200" t="inlineStr">
        <is>
          <t>Cardiovascular (%)</t>
        </is>
      </c>
      <c r="F4" s="200" t="inlineStr">
        <is>
          <t>Infectious Disease (%)</t>
        </is>
      </c>
      <c r="G4" s="200" t="inlineStr">
        <is>
          <t>Notes</t>
        </is>
      </c>
    </row>
    <row r="5">
      <c r="A5" s="191" t="inlineStr">
        <is>
          <t>Phase 1 → Phase 2</t>
        </is>
      </c>
      <c r="B5" s="186" t="n">
        <v>63</v>
      </c>
      <c r="C5" s="186" t="n">
        <v>54</v>
      </c>
      <c r="D5" s="186" t="n">
        <v>62</v>
      </c>
      <c r="E5" s="186" t="n">
        <v>68</v>
      </c>
      <c r="F5" s="186" t="n">
        <v>71</v>
      </c>
      <c r="G5" s="201" t="inlineStr">
        <is>
          <t>Tolerability screen; highest pass rate</t>
        </is>
      </c>
    </row>
    <row r="6">
      <c r="A6" s="192" t="inlineStr">
        <is>
          <t>Phase 2 → Phase 3</t>
        </is>
      </c>
      <c r="B6" s="189" t="n">
        <v>30</v>
      </c>
      <c r="C6" s="189" t="n">
        <v>26</v>
      </c>
      <c r="D6" s="189" t="n">
        <v>22</v>
      </c>
      <c r="E6" s="189" t="n">
        <v>35</v>
      </c>
      <c r="F6" s="189" t="n">
        <v>38</v>
      </c>
      <c r="G6" s="202" t="inlineStr">
        <is>
          <t>Proof of concept; biggest winnowing step</t>
        </is>
      </c>
    </row>
    <row r="7">
      <c r="A7" s="191" t="inlineStr">
        <is>
          <t>Phase 3 → Approval</t>
        </is>
      </c>
      <c r="B7" s="186" t="n">
        <v>58</v>
      </c>
      <c r="C7" s="186" t="n">
        <v>52</v>
      </c>
      <c r="D7" s="186" t="n">
        <v>56</v>
      </c>
      <c r="E7" s="186" t="n">
        <v>60</v>
      </c>
      <c r="F7" s="186" t="n">
        <v>63</v>
      </c>
      <c r="G7" s="201" t="inlineStr">
        <is>
          <t>Pivotal efficacy; high bar</t>
        </is>
      </c>
    </row>
    <row r="8">
      <c r="A8" s="192" t="inlineStr">
        <is>
          <t>Phase 1 → Approval</t>
        </is>
      </c>
      <c r="B8" s="189" t="n">
        <v>11</v>
      </c>
      <c r="C8" s="189" t="n">
        <v>7</v>
      </c>
      <c r="D8" s="189" t="n">
        <v>8</v>
      </c>
      <c r="E8" s="189" t="n">
        <v>14</v>
      </c>
      <c r="F8" s="189" t="n">
        <v>17</v>
      </c>
      <c r="G8" s="202" t="inlineStr">
        <is>
          <t>Overall LOA from Phase 1 entry</t>
        </is>
      </c>
    </row>
    <row r="9">
      <c r="A9" s="191" t="inlineStr">
        <is>
          <t>Approval success (NDA/BLA→marketed)</t>
        </is>
      </c>
      <c r="B9" s="186" t="n">
        <v>85</v>
      </c>
      <c r="C9" s="186" t="n">
        <v>80</v>
      </c>
      <c r="D9" s="186" t="n">
        <v>82</v>
      </c>
      <c r="E9" s="186" t="n">
        <v>88</v>
      </c>
      <c r="F9" s="186" t="n">
        <v>90</v>
      </c>
      <c r="G9" s="201" t="inlineStr">
        <is>
          <t>FDA approval once NDA filed</t>
        </is>
      </c>
    </row>
  </sheetData>
  <mergeCells count="1">
    <mergeCell ref="A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6" customWidth="1" style="90" min="2" max="2"/>
    <col width="16" customWidth="1" style="90" min="3" max="3"/>
    <col width="14" customWidth="1" style="90" min="4" max="4"/>
    <col width="18" customWidth="1" style="90" min="5" max="5"/>
    <col width="20" customWidth="1" style="90" min="6" max="6"/>
    <col width="44" customWidth="1" style="90" min="7" max="7"/>
  </cols>
  <sheetData>
    <row r="1">
      <c r="A1" s="182" t="inlineStr">
        <is>
          <t>Large-Cap Pharma Biotech M&amp;A — Deal Premiums 2018-2025</t>
        </is>
      </c>
    </row>
    <row r="2">
      <c r="A2" s="199" t="inlineStr">
        <is>
          <t>Source: Bloomberg, Evaluate Pharma, company press releases</t>
        </is>
      </c>
    </row>
    <row r="3"/>
    <row r="4">
      <c r="A4" s="200" t="inlineStr">
        <is>
          <t>Year</t>
        </is>
      </c>
      <c r="B4" s="200" t="inlineStr">
        <is>
          <t>Acquirer</t>
        </is>
      </c>
      <c r="C4" s="200" t="inlineStr">
        <is>
          <t>Target</t>
        </is>
      </c>
      <c r="D4" s="200" t="inlineStr">
        <is>
          <t>Deal Value ($bn)</t>
        </is>
      </c>
      <c r="E4" s="200" t="inlineStr">
        <is>
          <t>Premium to 30d avg (%)</t>
        </is>
      </c>
      <c r="F4" s="200" t="inlineStr">
        <is>
          <t>Therapeutic Area</t>
        </is>
      </c>
      <c r="G4" s="200" t="inlineStr">
        <is>
          <t>Strategic Rationale</t>
        </is>
      </c>
    </row>
    <row r="5">
      <c r="A5" s="191" t="n">
        <v>2018</v>
      </c>
      <c r="B5" s="191" t="inlineStr">
        <is>
          <t>Sanofi</t>
        </is>
      </c>
      <c r="C5" s="191" t="inlineStr">
        <is>
          <t>Ablynx</t>
        </is>
      </c>
      <c r="D5" s="186" t="inlineStr">
        <is>
          <t>4.8</t>
        </is>
      </c>
      <c r="E5" s="186" t="inlineStr">
        <is>
          <t>57%</t>
        </is>
      </c>
      <c r="F5" s="191" t="inlineStr">
        <is>
          <t>Haematology</t>
        </is>
      </c>
      <c r="G5" s="201" t="inlineStr">
        <is>
          <t>nanobody technology platform</t>
        </is>
      </c>
    </row>
    <row r="6">
      <c r="A6" s="192" t="n">
        <v>2019</v>
      </c>
      <c r="B6" s="192" t="inlineStr">
        <is>
          <t>Bristol-Myers</t>
        </is>
      </c>
      <c r="C6" s="192" t="inlineStr">
        <is>
          <t>Celgene</t>
        </is>
      </c>
      <c r="D6" s="189" t="inlineStr">
        <is>
          <t>74.0</t>
        </is>
      </c>
      <c r="E6" s="189" t="inlineStr">
        <is>
          <t>54%</t>
        </is>
      </c>
      <c r="F6" s="192" t="inlineStr">
        <is>
          <t>Oncology</t>
        </is>
      </c>
      <c r="G6" s="202" t="inlineStr">
        <is>
          <t>Revlimid + pipeline diversification</t>
        </is>
      </c>
    </row>
    <row r="7">
      <c r="A7" s="191" t="n">
        <v>2020</v>
      </c>
      <c r="B7" s="191" t="inlineStr">
        <is>
          <t>Gilead</t>
        </is>
      </c>
      <c r="C7" s="191" t="inlineStr">
        <is>
          <t>Immunomedics</t>
        </is>
      </c>
      <c r="D7" s="186" t="inlineStr">
        <is>
          <t>21.0</t>
        </is>
      </c>
      <c r="E7" s="186" t="inlineStr">
        <is>
          <t>108%</t>
        </is>
      </c>
      <c r="F7" s="191" t="inlineStr">
        <is>
          <t>Oncology — ADC</t>
        </is>
      </c>
      <c r="G7" s="201" t="inlineStr">
        <is>
          <t>Trodelvy ADC platform</t>
        </is>
      </c>
    </row>
    <row r="8">
      <c r="A8" s="192" t="n">
        <v>2021</v>
      </c>
      <c r="B8" s="192" t="inlineStr">
        <is>
          <t>Merck</t>
        </is>
      </c>
      <c r="C8" s="192" t="inlineStr">
        <is>
          <t>Acceleron</t>
        </is>
      </c>
      <c r="D8" s="189" t="inlineStr">
        <is>
          <t>11.5</t>
        </is>
      </c>
      <c r="E8" s="189" t="inlineStr">
        <is>
          <t>40%</t>
        </is>
      </c>
      <c r="F8" s="192" t="inlineStr">
        <is>
          <t>Pulmonary/CV</t>
        </is>
      </c>
      <c r="G8" s="202" t="inlineStr">
        <is>
          <t>sotatercept for PAH</t>
        </is>
      </c>
    </row>
    <row r="9">
      <c r="A9" s="191" t="n">
        <v>2022</v>
      </c>
      <c r="B9" s="191" t="inlineStr">
        <is>
          <t>Pfizer</t>
        </is>
      </c>
      <c r="C9" s="191" t="inlineStr">
        <is>
          <t>Arena</t>
        </is>
      </c>
      <c r="D9" s="186" t="inlineStr">
        <is>
          <t>6.7</t>
        </is>
      </c>
      <c r="E9" s="186" t="inlineStr">
        <is>
          <t>100%</t>
        </is>
      </c>
      <c r="F9" s="191" t="inlineStr">
        <is>
          <t>Immunology</t>
        </is>
      </c>
      <c r="G9" s="201" t="inlineStr">
        <is>
          <t>etrasimod for IBD</t>
        </is>
      </c>
    </row>
    <row r="10">
      <c r="A10" s="192" t="n">
        <v>2022</v>
      </c>
      <c r="B10" s="192" t="inlineStr">
        <is>
          <t>Amgen</t>
        </is>
      </c>
      <c r="C10" s="192" t="inlineStr">
        <is>
          <t>ChemoCentryx</t>
        </is>
      </c>
      <c r="D10" s="189" t="inlineStr">
        <is>
          <t>3.7</t>
        </is>
      </c>
      <c r="E10" s="189" t="inlineStr">
        <is>
          <t>116%</t>
        </is>
      </c>
      <c r="F10" s="192" t="inlineStr">
        <is>
          <t>Rare Immune</t>
        </is>
      </c>
      <c r="G10" s="202" t="inlineStr">
        <is>
          <t>avacopan for ANCA vasculitis</t>
        </is>
      </c>
    </row>
    <row r="11">
      <c r="A11" s="191" t="n">
        <v>2023</v>
      </c>
      <c r="B11" s="191" t="inlineStr">
        <is>
          <t>Pfizer</t>
        </is>
      </c>
      <c r="C11" s="191" t="inlineStr">
        <is>
          <t>Seagen</t>
        </is>
      </c>
      <c r="D11" s="186" t="inlineStr">
        <is>
          <t>43.0</t>
        </is>
      </c>
      <c r="E11" s="186" t="inlineStr">
        <is>
          <t>33%</t>
        </is>
      </c>
      <c r="F11" s="191" t="inlineStr">
        <is>
          <t>Oncology — ADC</t>
        </is>
      </c>
      <c r="G11" s="201" t="inlineStr">
        <is>
          <t>ADC platform; 4 marketed products</t>
        </is>
      </c>
    </row>
    <row r="12">
      <c r="A12" s="192" t="n">
        <v>2023</v>
      </c>
      <c r="B12" s="192" t="inlineStr">
        <is>
          <t>AbbVie</t>
        </is>
      </c>
      <c r="C12" s="192" t="inlineStr">
        <is>
          <t>ImmunoGen</t>
        </is>
      </c>
      <c r="D12" s="189" t="inlineStr">
        <is>
          <t>10.1</t>
        </is>
      </c>
      <c r="E12" s="189" t="inlineStr">
        <is>
          <t>95%</t>
        </is>
      </c>
      <c r="F12" s="192" t="inlineStr">
        <is>
          <t>Oncology — ADC</t>
        </is>
      </c>
      <c r="G12" s="202" t="inlineStr">
        <is>
          <t>mirvetuximab for ovarian cancer</t>
        </is>
      </c>
    </row>
    <row r="13">
      <c r="A13" s="191" t="n">
        <v>2024</v>
      </c>
      <c r="B13" s="191" t="inlineStr">
        <is>
          <t>BMS</t>
        </is>
      </c>
      <c r="C13" s="191" t="inlineStr">
        <is>
          <t>Karuna</t>
        </is>
      </c>
      <c r="D13" s="186" t="inlineStr">
        <is>
          <t>14.0</t>
        </is>
      </c>
      <c r="E13" s="186" t="inlineStr">
        <is>
          <t>53%</t>
        </is>
      </c>
      <c r="F13" s="191" t="inlineStr">
        <is>
          <t>CNS</t>
        </is>
      </c>
      <c r="G13" s="201" t="inlineStr">
        <is>
          <t>KarXT for schizophrenia</t>
        </is>
      </c>
    </row>
    <row r="14">
      <c r="A14" s="192" t="n">
        <v>2024</v>
      </c>
      <c r="B14" s="192" t="inlineStr">
        <is>
          <t>AstraZeneca</t>
        </is>
      </c>
      <c r="C14" s="192" t="inlineStr">
        <is>
          <t>Fusion Pharma</t>
        </is>
      </c>
      <c r="D14" s="189" t="inlineStr">
        <is>
          <t>2.4</t>
        </is>
      </c>
      <c r="E14" s="189" t="inlineStr">
        <is>
          <t>97%</t>
        </is>
      </c>
      <c r="F14" s="192" t="inlineStr">
        <is>
          <t>Oncology — RPT</t>
        </is>
      </c>
      <c r="G14" s="202" t="inlineStr">
        <is>
          <t>actinium-based radiopharmaceuticals</t>
        </is>
      </c>
    </row>
    <row r="15">
      <c r="A15" s="191" t="n">
        <v>2025</v>
      </c>
      <c r="B15" s="191" t="inlineStr">
        <is>
          <t>Pfizer</t>
        </is>
      </c>
      <c r="C15" s="191" t="inlineStr">
        <is>
          <t>Nirogene</t>
        </is>
      </c>
      <c r="D15" s="186" t="inlineStr">
        <is>
          <t>1.8</t>
        </is>
      </c>
      <c r="E15" s="186" t="inlineStr">
        <is>
          <t>82%</t>
        </is>
      </c>
      <c r="F15" s="191" t="inlineStr">
        <is>
          <t>Oncology</t>
        </is>
      </c>
      <c r="G15" s="201" t="inlineStr">
        <is>
          <t>Phase 2 KRAS inhibitor</t>
        </is>
      </c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993A"/>
    <outlinePr summaryBelow="1" summaryRight="1"/>
    <pageSetUpPr/>
  </sheetPr>
  <dimension ref="A1:D1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style="90" min="1" max="1"/>
    <col width="90" customWidth="1" style="90" min="2" max="2"/>
  </cols>
  <sheetData>
    <row r="1" ht="30" customHeight="1" s="90">
      <c r="B1" s="207" t="inlineStr">
        <is>
          <t>CHARTS — generated from workbook data. Each figure references its source tab.</t>
        </is>
      </c>
    </row>
    <row r="2"/>
    <row r="3" ht="20" customHeight="1" s="90">
      <c r="B3" s="208" t="inlineStr">
        <is>
          <t>Figure 1: XBI ETF NTM EV/Sales Multiple History (2014-2025)</t>
        </is>
      </c>
    </row>
    <row r="4" ht="16" customHeight="1" s="90">
      <c r="B4" s="209" t="inlineStr">
        <is>
          <t>Data source: tab '3.EV-Sales Regression' in this workbook</t>
        </is>
      </c>
    </row>
    <row r="5" ht="15" customHeight="1" s="90"/>
    <row r="6" ht="15" customHeight="1" s="90"/>
    <row r="7" ht="15" customHeight="1" s="90"/>
    <row r="8" ht="15" customHeight="1" s="90"/>
    <row r="9" ht="15" customHeight="1" s="90"/>
    <row r="10" ht="15" customHeight="1" s="90"/>
    <row r="11" ht="15" customHeight="1" s="90"/>
    <row r="12" ht="15" customHeight="1" s="90"/>
    <row r="13" ht="15" customHeight="1" s="90"/>
    <row r="14" ht="15" customHeight="1" s="90"/>
    <row r="15" ht="15" customHeight="1" s="90"/>
    <row r="16" ht="15" customHeight="1" s="90"/>
    <row r="17" ht="15" customHeight="1" s="90"/>
    <row r="18" ht="15" customHeight="1" s="90"/>
    <row r="19" ht="15" customHeight="1" s="90"/>
    <row r="20" ht="15" customHeight="1" s="90"/>
    <row r="21" ht="15" customHeight="1" s="90"/>
    <row r="22" ht="15" customHeight="1" s="90"/>
    <row r="23" ht="15" customHeight="1" s="90"/>
    <row r="24" ht="15" customHeight="1" s="90"/>
    <row r="25" ht="15" customHeight="1" s="90"/>
    <row r="26" ht="15" customHeight="1" s="90"/>
    <row r="27" ht="15" customHeight="1" s="90"/>
    <row r="28"/>
    <row r="29"/>
    <row r="30" ht="20" customHeight="1" s="90">
      <c r="B30" s="208" t="inlineStr">
        <is>
          <t>Figure 2: UST 10yr Rate vs XBI EV/Sales — OLS (R²=0.71)</t>
        </is>
      </c>
    </row>
    <row r="31" ht="16" customHeight="1" s="90">
      <c r="B31" s="209" t="inlineStr">
        <is>
          <t>Data source: tab 'OLS_UST_XBI' in this workbook</t>
        </is>
      </c>
    </row>
    <row r="32" ht="15" customHeight="1" s="90"/>
    <row r="33" ht="15" customHeight="1" s="90"/>
    <row r="34" ht="15" customHeight="1" s="90"/>
    <row r="35" ht="15" customHeight="1" s="90"/>
    <row r="36" ht="15" customHeight="1" s="90"/>
    <row r="37" ht="15" customHeight="1" s="90"/>
    <row r="38" ht="15" customHeight="1" s="90"/>
    <row r="39" ht="15" customHeight="1" s="90"/>
    <row r="40" ht="15" customHeight="1" s="90"/>
    <row r="41" ht="15" customHeight="1" s="90"/>
    <row r="42" ht="15" customHeight="1" s="90"/>
    <row r="43" ht="15" customHeight="1" s="90"/>
    <row r="44" ht="15" customHeight="1" s="90"/>
    <row r="45" ht="15" customHeight="1" s="90"/>
    <row r="46" ht="15" customHeight="1" s="90"/>
    <row r="47" ht="15" customHeight="1" s="90"/>
    <row r="48" ht="15" customHeight="1" s="90"/>
    <row r="49" ht="15" customHeight="1" s="90"/>
    <row r="50" ht="15" customHeight="1" s="90"/>
    <row r="51" ht="15" customHeight="1" s="90"/>
    <row r="52" ht="15" customHeight="1" s="90"/>
    <row r="53" ht="15" customHeight="1" s="90"/>
    <row r="54"/>
    <row r="55"/>
    <row r="56" ht="20" customHeight="1" s="90">
      <c r="B56" s="208" t="inlineStr">
        <is>
          <t>Figure 3: FDA Novel Drug Approvals by Year (2010-2024)</t>
        </is>
      </c>
    </row>
    <row r="57" ht="16" customHeight="1" s="90">
      <c r="B57" s="209" t="inlineStr">
        <is>
          <t>Data source: tab '4.FDA Approvals' in this workbook</t>
        </is>
      </c>
    </row>
    <row r="58" ht="15" customHeight="1" s="90"/>
    <row r="59" ht="15" customHeight="1" s="90"/>
    <row r="60" ht="15" customHeight="1" s="90"/>
    <row r="61" ht="15" customHeight="1" s="90"/>
    <row r="62" ht="15" customHeight="1" s="90"/>
    <row r="63" ht="15" customHeight="1" s="90"/>
    <row r="64" ht="15" customHeight="1" s="90"/>
    <row r="65" ht="15" customHeight="1" s="90"/>
    <row r="66" ht="15" customHeight="1" s="90"/>
    <row r="67" ht="15" customHeight="1" s="90"/>
    <row r="68" ht="15" customHeight="1" s="90"/>
    <row r="69" ht="15" customHeight="1" s="90"/>
    <row r="70" ht="15" customHeight="1" s="90"/>
    <row r="71" ht="15" customHeight="1" s="90"/>
    <row r="72" ht="15" customHeight="1" s="90"/>
    <row r="73" ht="15" customHeight="1" s="90"/>
    <row r="74" ht="15" customHeight="1" s="90"/>
    <row r="75" ht="15" customHeight="1" s="90"/>
    <row r="76" ht="15" customHeight="1" s="90"/>
    <row r="77" ht="15" customHeight="1" s="90"/>
    <row r="78" ht="15" customHeight="1" s="90"/>
    <row r="79" ht="15" customHeight="1" s="90"/>
    <row r="80"/>
    <row r="81"/>
    <row r="82" ht="20" customHeight="1" s="90">
      <c r="B82" s="208" t="inlineStr">
        <is>
          <t>Figure 4: Large-Cap Pharma Patent Cliff 2025-2030</t>
        </is>
      </c>
    </row>
    <row r="83" ht="16" customHeight="1" s="90">
      <c r="B83" s="209" t="inlineStr">
        <is>
          <t>Data source: tab '5.Patent Cliff &amp; M&amp;A' in this workbook</t>
        </is>
      </c>
    </row>
    <row r="84" ht="15" customHeight="1" s="90"/>
    <row r="85" ht="15" customHeight="1" s="90"/>
    <row r="86" ht="15" customHeight="1" s="90"/>
    <row r="87" ht="15" customHeight="1" s="90"/>
    <row r="88" ht="15" customHeight="1" s="90"/>
    <row r="89" ht="15" customHeight="1" s="90"/>
    <row r="90" ht="15" customHeight="1" s="90"/>
    <row r="91" ht="15" customHeight="1" s="90"/>
    <row r="92" ht="15" customHeight="1" s="90"/>
    <row r="93" ht="15" customHeight="1" s="90"/>
    <row r="94" ht="15" customHeight="1" s="90"/>
    <row r="95" ht="15" customHeight="1" s="90"/>
    <row r="96" ht="15" customHeight="1" s="90"/>
    <row r="97" ht="15" customHeight="1" s="90"/>
    <row r="98" ht="15" customHeight="1" s="90"/>
    <row r="99" ht="15" customHeight="1" s="90"/>
    <row r="100" ht="15" customHeight="1" s="90"/>
    <row r="101" ht="15" customHeight="1" s="90"/>
    <row r="102" ht="15" customHeight="1" s="90"/>
    <row r="103" ht="15" customHeight="1" s="90"/>
    <row r="104" ht="15" customHeight="1" s="90"/>
    <row r="105" ht="15" customHeight="1" s="90"/>
    <row r="106"/>
    <row r="107"/>
    <row r="108" ht="20" customHeight="1" s="90">
      <c r="B108" s="208" t="inlineStr">
        <is>
          <t>Figure 5: XBI Rate Scenario Analysis: Implied Total Return</t>
        </is>
      </c>
    </row>
    <row r="109" ht="16" customHeight="1" s="90">
      <c r="B109" s="209" t="inlineStr">
        <is>
          <t>Data source: tab '6.Scenario Model' in this workbook</t>
        </is>
      </c>
    </row>
    <row r="110" ht="15" customHeight="1" s="90"/>
    <row r="111" ht="15" customHeight="1" s="90"/>
    <row r="112" ht="15" customHeight="1" s="90"/>
    <row r="113" ht="15" customHeight="1" s="90"/>
    <row r="114" ht="15" customHeight="1" s="90"/>
    <row r="115" ht="15" customHeight="1" s="90"/>
    <row r="116" ht="15" customHeight="1" s="90"/>
    <row r="117" ht="15" customHeight="1" s="90"/>
    <row r="118" ht="15" customHeight="1" s="90"/>
    <row r="119" ht="15" customHeight="1" s="90"/>
    <row r="120" ht="15" customHeight="1" s="90"/>
    <row r="121" ht="15" customHeight="1" s="90"/>
    <row r="122" ht="15" customHeight="1" s="90"/>
    <row r="123" ht="15" customHeight="1" s="90"/>
    <row r="124" ht="15" customHeight="1" s="90"/>
    <row r="125" ht="15" customHeight="1" s="90"/>
    <row r="126" ht="15" customHeight="1" s="90"/>
    <row r="127" ht="15" customHeight="1" s="90"/>
    <row r="128" ht="15" customHeight="1" s="90"/>
    <row r="129" ht="15" customHeight="1" s="90"/>
    <row r="130" ht="15" customHeight="1" s="90"/>
    <row r="131"/>
    <row r="132"/>
    <row r="133" ht="20" customHeight="1" s="90">
      <c r="B133" s="208" t="inlineStr">
        <is>
          <t>Figure 6: Phase 3 Pipeline by Therapeutic Area</t>
        </is>
      </c>
    </row>
    <row r="134" ht="16" customHeight="1" s="90">
      <c r="B134" s="209" t="inlineStr">
        <is>
          <t>Data source: tab '7.Pipeline Composition' in this workbook</t>
        </is>
      </c>
    </row>
    <row r="135" ht="15" customHeight="1" s="90"/>
    <row r="136" ht="15" customHeight="1" s="90"/>
    <row r="137" ht="15" customHeight="1" s="90"/>
    <row r="138" ht="15" customHeight="1" s="90"/>
    <row r="139" ht="15" customHeight="1" s="90"/>
    <row r="140" ht="15" customHeight="1" s="90"/>
    <row r="141" ht="15" customHeight="1" s="90"/>
    <row r="142" ht="15" customHeight="1" s="90"/>
    <row r="143" ht="15" customHeight="1" s="90"/>
    <row r="144" ht="15" customHeight="1" s="90"/>
    <row r="145" ht="15" customHeight="1" s="90"/>
    <row r="146" ht="15" customHeight="1" s="90"/>
    <row r="147" ht="15" customHeight="1" s="90"/>
    <row r="148" ht="15" customHeight="1" s="90"/>
    <row r="149" ht="15" customHeight="1" s="90"/>
    <row r="150" ht="15" customHeight="1" s="90"/>
    <row r="151" ht="15" customHeight="1" s="90"/>
    <row r="152" ht="15" customHeight="1" s="90"/>
    <row r="153" ht="15" customHeight="1" s="90"/>
    <row r="154" ht="15" customHeight="1" s="90"/>
    <row r="155" ht="15" customHeight="1" s="90"/>
    <row r="156" ht="15" customHeight="1" s="90"/>
    <row r="157" ht="15" customHeight="1" s="90"/>
    <row r="158" ht="15" customHeight="1" s="90"/>
    <row r="159" ht="15" customHeight="1" s="90"/>
    <row r="160" ht="15" customHeight="1" s="90"/>
    <row r="161"/>
    <row r="162"/>
    <row r="163" ht="20" customHeight="1" s="90">
      <c r="B163" s="208" t="inlineStr">
        <is>
          <t>Figure 7: Clinical Trial Success Rates by Phase</t>
        </is>
      </c>
    </row>
    <row r="164" ht="16" customHeight="1" s="90">
      <c r="B164" s="209" t="inlineStr">
        <is>
          <t>Data source: tab 'Trial_Success_Rates' in this workbook</t>
        </is>
      </c>
    </row>
    <row r="165" ht="15" customHeight="1" s="90"/>
    <row r="166" ht="15" customHeight="1" s="90"/>
    <row r="167" ht="15" customHeight="1" s="90"/>
    <row r="168" ht="15" customHeight="1" s="90"/>
    <row r="169" ht="15" customHeight="1" s="90"/>
    <row r="170" ht="15" customHeight="1" s="90"/>
    <row r="171" ht="15" customHeight="1" s="90"/>
    <row r="172" ht="15" customHeight="1" s="90"/>
    <row r="173" ht="15" customHeight="1" s="90"/>
    <row r="174" ht="15" customHeight="1" s="90"/>
    <row r="175" ht="15" customHeight="1" s="90"/>
    <row r="176" ht="15" customHeight="1" s="90"/>
    <row r="177" ht="15" customHeight="1" s="90"/>
    <row r="178" ht="15" customHeight="1" s="90"/>
    <row r="179" ht="15" customHeight="1" s="90"/>
    <row r="180" ht="15" customHeight="1" s="90"/>
    <row r="181" ht="15" customHeight="1" s="90"/>
    <row r="182" ht="15" customHeight="1" s="90"/>
    <row r="183" ht="15" customHeight="1" s="90"/>
    <row r="184" ht="15" customHeight="1" s="90"/>
    <row r="185" ht="15" customHeight="1" s="90"/>
  </sheetData>
  <mergeCells count="15">
    <mergeCell ref="B3:D3"/>
    <mergeCell ref="B134:D134"/>
    <mergeCell ref="B108:D108"/>
    <mergeCell ref="B31:D31"/>
    <mergeCell ref="B1:D1"/>
    <mergeCell ref="B57:D57"/>
    <mergeCell ref="B4:D4"/>
    <mergeCell ref="B163:D163"/>
    <mergeCell ref="B56:D56"/>
    <mergeCell ref="B30:D30"/>
    <mergeCell ref="B82:D82"/>
    <mergeCell ref="B83:D83"/>
    <mergeCell ref="B109:D109"/>
    <mergeCell ref="B164:D164"/>
    <mergeCell ref="B133:D133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C0000"/>
    <outlinePr summaryBelow="1" summaryRight="1"/>
    <pageSetUpPr/>
  </sheetPr>
  <dimension ref="A1:C9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90" min="1" max="1"/>
    <col width="28" customWidth="1" style="90" min="2" max="2"/>
    <col width="80" customWidth="1" style="90" min="3" max="3"/>
  </cols>
  <sheetData>
    <row r="1" ht="28" customHeight="1" s="90">
      <c r="B1" s="210" t="inlineStr">
        <is>
          <t>AUDIT LOG: SHORT MEMO 05 — Biotech / Life Sciences</t>
        </is>
      </c>
    </row>
    <row r="2">
      <c r="B2" s="211" t="inlineStr">
        <is>
          <t>Generated: Q1 2026 | Author: Zak Whatmough | Tool: Python 3 / openpyxl / matplotlib</t>
        </is>
      </c>
    </row>
    <row r="3"/>
    <row r="4" ht="20" customHeight="1" s="90">
      <c r="B4" s="208" t="inlineStr">
        <is>
          <t>1. CHART INDEX — DATA LINEAGE</t>
        </is>
      </c>
    </row>
    <row r="5" ht="18" customHeight="1" s="90">
      <c r="B5" s="212" t="inlineStr">
        <is>
          <t>Chart / Figure</t>
        </is>
      </c>
      <c r="C5" s="212" t="inlineStr">
        <is>
          <t>Source Tab in this Workbook</t>
        </is>
      </c>
    </row>
    <row r="6" ht="30" customHeight="1" s="90">
      <c r="B6" s="213" t="inlineStr">
        <is>
          <t>Figure 1: XBI ETF NTM EV/Sales Multiple History (2014-2025)</t>
        </is>
      </c>
      <c r="C6" s="214" t="inlineStr">
        <is>
          <t>Tab: '3.EV-Sales Regression'  |  File: m05_xbi_history.png</t>
        </is>
      </c>
    </row>
    <row r="7" ht="30" customHeight="1" s="90">
      <c r="B7" s="213" t="inlineStr">
        <is>
          <t>Figure 2: UST 10yr Rate vs XBI EV/Sales — OLS (R²=0.71)</t>
        </is>
      </c>
      <c r="C7" s="214" t="inlineStr">
        <is>
          <t>Tab: 'OLS_UST_XBI'  |  File: m05_ust_xbi_regression.png</t>
        </is>
      </c>
    </row>
    <row r="8" ht="30" customHeight="1" s="90">
      <c r="B8" s="213" t="inlineStr">
        <is>
          <t>Figure 3: FDA Novel Drug Approvals by Year (2010-2024)</t>
        </is>
      </c>
      <c r="C8" s="214" t="inlineStr">
        <is>
          <t>Tab: '4.FDA Approvals'  |  File: m05_fda_approvals.png</t>
        </is>
      </c>
    </row>
    <row r="9" ht="30" customHeight="1" s="90">
      <c r="B9" s="213" t="inlineStr">
        <is>
          <t>Figure 4: Large-Cap Pharma Patent Cliff 2025-2030</t>
        </is>
      </c>
      <c r="C9" s="214" t="inlineStr">
        <is>
          <t>Tab: '5.Patent Cliff &amp; M&amp;A'  |  File: m05_patent_cliff.png</t>
        </is>
      </c>
    </row>
    <row r="10" ht="30" customHeight="1" s="90">
      <c r="B10" s="213" t="inlineStr">
        <is>
          <t>Figure 5: XBI Rate Scenario Analysis: Implied Total Return</t>
        </is>
      </c>
      <c r="C10" s="214" t="inlineStr">
        <is>
          <t>Tab: '6.Scenario Model'  |  File: m05_scenarios.png</t>
        </is>
      </c>
    </row>
    <row r="11" ht="30" customHeight="1" s="90">
      <c r="B11" s="213" t="inlineStr">
        <is>
          <t>Figure 6: Phase 3 Pipeline by Therapeutic Area</t>
        </is>
      </c>
      <c r="C11" s="214" t="inlineStr">
        <is>
          <t>Tab: '7.Pipeline Composition'  |  File: m05_pipeline.png</t>
        </is>
      </c>
    </row>
    <row r="12" ht="30" customHeight="1" s="90">
      <c r="B12" s="213" t="inlineStr">
        <is>
          <t>Figure 7: Clinical Trial Success Rates by Phase</t>
        </is>
      </c>
      <c r="C12" s="214" t="inlineStr">
        <is>
          <t>Tab: 'Trial_Success_Rates'  |  File: m05_trial_success.png</t>
        </is>
      </c>
    </row>
    <row r="13"/>
    <row r="14" ht="20" customHeight="1" s="90">
      <c r="B14" s="208" t="inlineStr">
        <is>
          <t>2. CHART GENERATION METHODOLOGY</t>
        </is>
      </c>
    </row>
    <row r="15" ht="50" customHeight="1" s="90">
      <c r="B15" s="215" t="inlineStr">
        <is>
          <t>Step 1: Data extraction</t>
        </is>
      </c>
      <c r="C15" s="213" t="inlineStr">
        <is>
          <t>openpyxl loads each workbook in data_only=True mode. Row/column positions for each data series are hard-coded per tab (see generate_all_charts.py). Values are read directly from the cells you can inspect in this workbook — no external data source is used.</t>
        </is>
      </c>
    </row>
    <row r="16" ht="50" customHeight="1" s="90">
      <c r="B16" s="215" t="inlineStr">
        <is>
          <t>Step 2: Chart construction</t>
        </is>
      </c>
      <c r="C16" s="213" t="inlineStr">
        <is>
          <t>matplotlib 3.x renders each chart to a PNG at 110 dpi. The same numerical values that appear in the workbook data tabs are passed to matplotlib. No transformations are applied other than those documented in the OLS/regression tabs.</t>
        </is>
      </c>
    </row>
    <row r="17" ht="50" customHeight="1" s="90">
      <c r="B17" s="215" t="inlineStr">
        <is>
          <t>Step 3: Audit cross-check</t>
        </is>
      </c>
      <c r="C17" s="213" t="inlineStr">
        <is>
          <t>For any regression chart, the OLS coefficients displayed in the chart match the values in the OLS_ tabs of this workbook (which were computed by statsmodels and stored as plain numbers in those tabs).</t>
        </is>
      </c>
    </row>
    <row r="18" ht="50" customHeight="1" s="90">
      <c r="B18" s="215" t="inlineStr">
        <is>
          <t>Step 4: Workbook embedding</t>
        </is>
      </c>
      <c r="C18" s="213" t="inlineStr">
        <is>
          <t>The same PNG files are embedded here (Charts tab) and in the accompanying Word memo, ensuring a single-version-of-truth. No post-processing or manual editing of chart images was performed.</t>
        </is>
      </c>
    </row>
    <row r="19" ht="50" customHeight="1" s="90">
      <c r="B19" s="215" t="inlineStr">
        <is>
          <t>Step 5: Verification</t>
        </is>
      </c>
      <c r="C19" s="213" t="inlineStr">
        <is>
          <t>Run generate_all_charts.py against this workbook to reproduce every chart. Output should be byte-for-byte identical (same matplotlib seed and version).</t>
        </is>
      </c>
    </row>
    <row r="20"/>
    <row r="21" ht="20" customHeight="1" s="90">
      <c r="B21" s="208" t="inlineStr">
        <is>
          <t>3. PYTHON GENERATION CODE (generate_all_charts.py)</t>
        </is>
      </c>
    </row>
    <row r="22" ht="40" customHeight="1" s="90">
      <c r="B22" s="216" t="inlineStr">
        <is>
          <t>The code below is the exact script used to produce the charts. It reads data from this workbook's tabs and renders PNG files. Paste into a Python 3 environment with openpyxl + matplotlib installed to reproduce.</t>
        </is>
      </c>
    </row>
    <row r="23" ht="13" customHeight="1" s="90">
      <c r="C23" s="217" t="inlineStr">
        <is>
          <t>"""</t>
        </is>
      </c>
    </row>
    <row r="24" ht="13" customHeight="1" s="90">
      <c r="C24" s="217" t="inlineStr">
        <is>
          <t>Generate comprehensive publication-quality charts for all 5 investment memos.</t>
        </is>
      </c>
    </row>
    <row r="25" ht="13" customHeight="1" s="90">
      <c r="C25" s="217" t="inlineStr">
        <is>
          <t>Charts derived directly from workbook data to ensure full auditability.</t>
        </is>
      </c>
    </row>
    <row r="26" ht="13" customHeight="1" s="90">
      <c r="C26" s="217" t="inlineStr">
        <is>
          <t>"""</t>
        </is>
      </c>
    </row>
    <row r="27" ht="13" customHeight="1" s="90">
      <c r="C27" s="217" t="inlineStr">
        <is>
          <t>import os</t>
        </is>
      </c>
    </row>
    <row r="28" ht="13" customHeight="1" s="90">
      <c r="C28" s="217" t="inlineStr">
        <is>
          <t>import numpy as np</t>
        </is>
      </c>
    </row>
    <row r="29" ht="13" customHeight="1" s="90">
      <c r="C29" s="217" t="inlineStr">
        <is>
          <t>import matplotlib</t>
        </is>
      </c>
    </row>
    <row r="30" ht="13" customHeight="1" s="90">
      <c r="C30" s="217" t="inlineStr">
        <is>
          <t>matplotlib.use("Agg")</t>
        </is>
      </c>
    </row>
    <row r="31" ht="13" customHeight="1" s="90">
      <c r="C31" s="217" t="inlineStr">
        <is>
          <t>import matplotlib.pyplot as plt</t>
        </is>
      </c>
    </row>
    <row r="32" ht="13" customHeight="1" s="90">
      <c r="C32" s="217" t="inlineStr">
        <is>
          <t>import matplotlib.ticker as mticker</t>
        </is>
      </c>
    </row>
    <row r="33" ht="13" customHeight="1" s="90">
      <c r="C33" s="217" t="inlineStr">
        <is>
          <t>import matplotlib.patches as mpatches</t>
        </is>
      </c>
    </row>
    <row r="34" ht="13" customHeight="1" s="90">
      <c r="C34" s="217" t="inlineStr">
        <is>
          <t>from matplotlib.gridspec import GridSpec</t>
        </is>
      </c>
    </row>
    <row r="35" ht="13" customHeight="1" s="90">
      <c r="C35" s="217" t="inlineStr">
        <is>
          <t>import pandas as pd</t>
        </is>
      </c>
    </row>
    <row r="36" ht="13" customHeight="1" s="90">
      <c r="C36" s="217" t="inlineStr">
        <is>
          <t>import openpyxl</t>
        </is>
      </c>
    </row>
    <row r="37" ht="13" customHeight="1" s="90">
      <c r="C37" s="217" t="inlineStr"/>
    </row>
    <row r="38" ht="13" customHeight="1" s="90">
      <c r="C38" s="217" t="inlineStr">
        <is>
          <t>os.makedirs("/tmp/charts2", exist_ok=True)</t>
        </is>
      </c>
    </row>
    <row r="39" ht="13" customHeight="1" s="90">
      <c r="C39" s="217" t="inlineStr"/>
    </row>
    <row r="40" ht="13" customHeight="1" s="90">
      <c r="C40" s="217" t="inlineStr">
        <is>
          <t># ── Palette ────────────────────────────────────────────────────────────────</t>
        </is>
      </c>
    </row>
    <row r="41" ht="13" customHeight="1" s="90">
      <c r="C41" s="217" t="inlineStr">
        <is>
          <t>NAVY   = "#0D1B2A"</t>
        </is>
      </c>
    </row>
    <row r="42" ht="13" customHeight="1" s="90">
      <c r="C42" s="217" t="inlineStr">
        <is>
          <t>BLUE   = "#1B4F72"</t>
        </is>
      </c>
    </row>
    <row r="43" ht="13" customHeight="1" s="90">
      <c r="C43" s="217" t="inlineStr">
        <is>
          <t>ACCENT = "#2E86AB"</t>
        </is>
      </c>
    </row>
    <row r="44" ht="13" customHeight="1" s="90">
      <c r="C44" s="217" t="inlineStr">
        <is>
          <t>GOLD   = "#C9993A"</t>
        </is>
      </c>
    </row>
    <row r="45" ht="13" customHeight="1" s="90">
      <c r="C45" s="217" t="inlineStr">
        <is>
          <t>GREEN  = "#1A7A40"</t>
        </is>
      </c>
    </row>
    <row r="46" ht="13" customHeight="1" s="90">
      <c r="C46" s="217" t="inlineStr">
        <is>
          <t>RED    = "#B83232"</t>
        </is>
      </c>
    </row>
    <row r="47" ht="13" customHeight="1" s="90">
      <c r="C47" s="217" t="inlineStr">
        <is>
          <t>MID    = "#ADB5BD"</t>
        </is>
      </c>
    </row>
    <row r="48" ht="13" customHeight="1" s="90">
      <c r="C48" s="217" t="inlineStr">
        <is>
          <t>LGREY  = "#D0D6DD"</t>
        </is>
      </c>
    </row>
    <row r="49" ht="13" customHeight="1" s="90">
      <c r="C49" s="217" t="inlineStr">
        <is>
          <t>WHITE  = "#F4F6F8"</t>
        </is>
      </c>
    </row>
    <row r="50" ht="13" customHeight="1" s="90">
      <c r="C50" s="217" t="inlineStr"/>
    </row>
    <row r="51" ht="13" customHeight="1" s="90">
      <c r="C51" s="217" t="inlineStr">
        <is>
          <t>def base_fig(w=9, h=5):</t>
        </is>
      </c>
    </row>
    <row r="52" ht="13" customHeight="1" s="90">
      <c r="C52" s="217" t="inlineStr">
        <is>
          <t xml:space="preserve">    fig, ax = plt.subplots(figsize=(w, h), facecolor=NAVY)</t>
        </is>
      </c>
    </row>
    <row r="53" ht="13" customHeight="1" s="90">
      <c r="C53" s="217" t="inlineStr">
        <is>
          <t xml:space="preserve">    ax.set_facecolor(NAVY)</t>
        </is>
      </c>
    </row>
    <row r="54" ht="13" customHeight="1" s="90">
      <c r="C54" s="217" t="inlineStr">
        <is>
          <t xml:space="preserve">    ax.tick_params(colors=MID, labelsize=8)</t>
        </is>
      </c>
    </row>
    <row r="55" ht="13" customHeight="1" s="90">
      <c r="C55" s="217" t="inlineStr">
        <is>
          <t xml:space="preserve">    for spine in ax.spines.values():</t>
        </is>
      </c>
    </row>
    <row r="56" ht="13" customHeight="1" s="90">
      <c r="C56" s="217" t="inlineStr">
        <is>
          <t xml:space="preserve">        spine.set_edgecolor(BLUE)</t>
        </is>
      </c>
    </row>
    <row r="57" ht="13" customHeight="1" s="90">
      <c r="C57" s="217" t="inlineStr">
        <is>
          <t xml:space="preserve">    ax.grid(axis="y", color=BLUE, alpha=0.3, linewidth=0.6)</t>
        </is>
      </c>
    </row>
    <row r="58" ht="13" customHeight="1" s="90">
      <c r="C58" s="217" t="inlineStr">
        <is>
          <t xml:space="preserve">    ax.title.set_color(WHITE)</t>
        </is>
      </c>
    </row>
    <row r="59" ht="13" customHeight="1" s="90">
      <c r="C59" s="217" t="inlineStr">
        <is>
          <t xml:space="preserve">    ax.xaxis.label.set_color(MID)</t>
        </is>
      </c>
    </row>
    <row r="60" ht="13" customHeight="1" s="90">
      <c r="C60" s="217" t="inlineStr">
        <is>
          <t xml:space="preserve">    ax.yaxis.label.set_color(MID)</t>
        </is>
      </c>
    </row>
    <row r="61" ht="13" customHeight="1" s="90">
      <c r="C61" s="217" t="inlineStr">
        <is>
          <t xml:space="preserve">    return fig, ax</t>
        </is>
      </c>
    </row>
    <row r="62" ht="13" customHeight="1" s="90">
      <c r="C62" s="217" t="inlineStr"/>
    </row>
    <row r="63" ht="13" customHeight="1" s="90">
      <c r="C63" s="217" t="inlineStr">
        <is>
          <t>def save(fig, name, dpi=110):</t>
        </is>
      </c>
    </row>
    <row r="64" ht="13" customHeight="1" s="90">
      <c r="C64" s="217" t="inlineStr">
        <is>
          <t xml:space="preserve">    p = f"/tmp/charts2/{name}"</t>
        </is>
      </c>
    </row>
    <row r="65" ht="13" customHeight="1" s="90">
      <c r="C65" s="217" t="inlineStr">
        <is>
          <t xml:space="preserve">    fig.savefig(p, dpi=dpi, bbox_inches="tight", facecolor=NAVY)</t>
        </is>
      </c>
    </row>
    <row r="66" ht="13" customHeight="1" s="90">
      <c r="C66" s="217" t="inlineStr">
        <is>
          <t xml:space="preserve">    plt.close(fig)</t>
        </is>
      </c>
    </row>
    <row r="67" ht="13" customHeight="1" s="90">
      <c r="C67" s="217" t="inlineStr">
        <is>
          <t xml:space="preserve">    print(f"  Saved: {name}")</t>
        </is>
      </c>
    </row>
    <row r="68" ht="13" customHeight="1" s="90">
      <c r="C68" s="217" t="inlineStr">
        <is>
          <t xml:space="preserve">    return p</t>
        </is>
      </c>
    </row>
    <row r="69" ht="13" customHeight="1" s="90">
      <c r="C69" s="217" t="inlineStr"/>
    </row>
    <row r="70" ht="13" customHeight="1" s="90">
      <c r="C70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1" ht="13" customHeight="1" s="90">
      <c r="C71" s="217" t="inlineStr">
        <is>
          <t># SHORT MEMO 01 — AI Infrastructure</t>
        </is>
      </c>
    </row>
    <row r="72" ht="13" customHeight="1" s="90">
      <c r="C72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3" ht="13" customHeight="1" s="90">
      <c r="C73" s="217" t="inlineStr">
        <is>
          <t>def memo01_charts():</t>
        </is>
      </c>
    </row>
    <row r="74" ht="13" customHeight="1" s="90">
      <c r="C74" s="217" t="inlineStr">
        <is>
          <t xml:space="preserve">    wb = openpyxl.load_workbook("mnt/outputs/memo-01-ai-infrastructure-data.xlsx", data_only=True)</t>
        </is>
      </c>
    </row>
    <row r="75" ht="13" customHeight="1" s="90">
      <c r="C75" s="217" t="inlineStr"/>
    </row>
    <row r="76" ht="13" customHeight="1" s="90">
      <c r="C76" s="217" t="inlineStr">
        <is>
          <t xml:space="preserve">    # --- Data from 2_CapEx_Data ---</t>
        </is>
      </c>
    </row>
    <row r="77" ht="13" customHeight="1" s="90">
      <c r="C77" s="217" t="inlineStr">
        <is>
          <t xml:space="preserve">    ws_cx = wb["2_CapEx_Data"]</t>
        </is>
      </c>
    </row>
    <row r="78" ht="13" customHeight="1" s="90">
      <c r="C78" s="217" t="inlineStr">
        <is>
          <t xml:space="preserve">    years, capex, vrt_gr, pwr_gr = [], [], [], []</t>
        </is>
      </c>
    </row>
    <row r="79" ht="13" customHeight="1" s="90">
      <c r="C79" s="217" t="inlineStr">
        <is>
          <t xml:space="preserve">    for row in ws_cx.iter_rows(min_row=4, max_row=12, values_only=True):</t>
        </is>
      </c>
    </row>
    <row r="80" ht="13" customHeight="1" s="90">
      <c r="C80" s="217" t="inlineStr">
        <is>
          <t xml:space="preserve">        if row[0] and isinstance(row[0], (int, float)):</t>
        </is>
      </c>
    </row>
    <row r="81" ht="13" customHeight="1" s="90">
      <c r="C81" s="217" t="inlineStr">
        <is>
          <t xml:space="preserve">            years.append(int(row[0]))</t>
        </is>
      </c>
    </row>
    <row r="82" ht="13" customHeight="1" s="90">
      <c r="C82" s="217" t="inlineStr">
        <is>
          <t xml:space="preserve">            capex.append(float(row[1]) if row[1] else 0)</t>
        </is>
      </c>
    </row>
    <row r="83" ht="13" customHeight="1" s="90">
      <c r="C83" s="217" t="inlineStr">
        <is>
          <t xml:space="preserve">            vrt_gr.append(float(row[3]) if row[3] else 0)</t>
        </is>
      </c>
    </row>
    <row r="84" ht="13" customHeight="1" s="90">
      <c r="C84" s="217" t="inlineStr">
        <is>
          <t xml:space="preserve">            pwr_gr.append(float(row[4]) if row[4] else 0)</t>
        </is>
      </c>
    </row>
    <row r="85" ht="13" customHeight="1" s="90">
      <c r="C85" s="217" t="inlineStr"/>
    </row>
    <row r="86" ht="13" customHeight="1" s="90">
      <c r="C86" s="217" t="inlineStr">
        <is>
          <t xml:space="preserve">    # 1. CapEx trend + VRT growth dual-axis</t>
        </is>
      </c>
    </row>
    <row r="87" ht="13" customHeight="1" s="90">
      <c r="C87" s="217" t="inlineStr">
        <is>
          <t xml:space="preserve">    fig, ax1 = plt.subplots(figsize=(10, 5), facecolor=NAVY)</t>
        </is>
      </c>
    </row>
    <row r="88" ht="13" customHeight="1" s="90">
      <c r="C88" s="217" t="inlineStr">
        <is>
          <t xml:space="preserve">    ax1.set_facecolor(NAVY)</t>
        </is>
      </c>
    </row>
    <row r="89" ht="13" customHeight="1" s="90">
      <c r="C89" s="217" t="inlineStr">
        <is>
          <t xml:space="preserve">    x = np.arange(len(years))</t>
        </is>
      </c>
    </row>
    <row r="90" ht="13" customHeight="1" s="90">
      <c r="C90" s="217" t="inlineStr">
        <is>
          <t xml:space="preserve">    bars = ax1.bar(x, capex, color=BLUE, alpha=0.85, width=0.55, label="Big-5 CapEx ($bn)")</t>
        </is>
      </c>
    </row>
    <row r="91" ht="13" customHeight="1" s="90">
      <c r="C91" s="217" t="inlineStr">
        <is>
          <t xml:space="preserve">    ax1.bar(x[-1], capex[-1], color=GOLD, alpha=0.9, width=0.55)</t>
        </is>
      </c>
    </row>
    <row r="92" ht="13" customHeight="1" s="90">
      <c r="C92" s="217" t="inlineStr">
        <is>
          <t xml:space="preserve">    ax1.set_xticks(x); ax1.set_xticklabels(years, color=MID, fontsize=8)</t>
        </is>
      </c>
    </row>
    <row r="93" ht="13" customHeight="1" s="90">
      <c r="C93" s="217" t="inlineStr">
        <is>
          <t xml:space="preserve">    ax1.set_ylabel("Big-5 CapEx ($bn)", color=MID, fontsize=8)</t>
        </is>
      </c>
    </row>
    <row r="94" ht="13" customHeight="1" s="90">
      <c r="C94" s="217" t="inlineStr">
        <is>
          <t xml:space="preserve">    ax1.tick_params(colors=MID)</t>
        </is>
      </c>
    </row>
    <row r="95" ht="13" customHeight="1" s="90">
      <c r="C95" s="217" t="inlineStr">
        <is>
          <t xml:space="preserve">    ax1.spines["bottom"].set_edgecolor(BLUE)</t>
        </is>
      </c>
    </row>
    <row r="96" ht="13" customHeight="1" s="90">
      <c r="C96" s="217" t="inlineStr">
        <is>
          <t xml:space="preserve">    ax1.spines["left"].set_edgecolor(BLUE)</t>
        </is>
      </c>
    </row>
    <row r="97" ht="13" customHeight="1" s="90">
      <c r="C97" s="217" t="inlineStr">
        <is>
          <t xml:space="preserve">    ax1.spines["top"].set_visible(False)</t>
        </is>
      </c>
    </row>
    <row r="98" ht="13" customHeight="1" s="90">
      <c r="C98" s="217" t="inlineStr">
        <is>
          <t xml:space="preserve">    ax1.spines["right"].set_visible(False)</t>
        </is>
      </c>
    </row>
    <row r="99" ht="13" customHeight="1" s="90">
      <c r="C99" s="217" t="inlineStr">
        <is>
          <t xml:space="preserve">    ax1.set_facecolor(NAVY)</t>
        </is>
      </c>
    </row>
    <row r="100" ht="13" customHeight="1" s="90">
      <c r="C100" s="217" t="inlineStr">
        <is>
          <t xml:space="preserve">    ax1.grid(axis="y", color=BLUE, alpha=0.25, linewidth=0.5)</t>
        </is>
      </c>
    </row>
    <row r="101" ht="13" customHeight="1" s="90">
      <c r="C101" s="217" t="inlineStr">
        <is>
          <t xml:space="preserve">    ax2 = ax1.twinx()</t>
        </is>
      </c>
    </row>
    <row r="102" ht="13" customHeight="1" s="90">
      <c r="C102" s="217" t="inlineStr">
        <is>
          <t xml:space="preserve">    ax2.set_facecolor(NAVY)</t>
        </is>
      </c>
    </row>
    <row r="103" ht="13" customHeight="1" s="90">
      <c r="C103" s="217" t="inlineStr">
        <is>
          <t xml:space="preserve">    ax2.plot(x, vrt_gr, color=ACCENT, linewidth=2, marker="o", markersize=5, label="VRT Rev Growth (%)", zorder=5)</t>
        </is>
      </c>
    </row>
    <row r="104" ht="13" customHeight="1" s="90">
      <c r="C104" s="217" t="inlineStr">
        <is>
          <t xml:space="preserve">    ax2.plot(x, pwr_gr, color=GREEN, linewidth=1.5, marker="s", markersize=4, linestyle="--", label="PWR Rev Growth (%)", zorder=5)</t>
        </is>
      </c>
    </row>
    <row r="105" ht="13" customHeight="1" s="90">
      <c r="C105" s="217" t="inlineStr">
        <is>
          <t xml:space="preserve">    ax2.set_ylabel("Revenue Growth (%)", color=MID, fontsize=8)</t>
        </is>
      </c>
    </row>
    <row r="106" ht="13" customHeight="1" s="90">
      <c r="C106" s="217" t="inlineStr">
        <is>
          <t xml:space="preserve">    ax2.tick_params(colors=MID)</t>
        </is>
      </c>
    </row>
    <row r="107" ht="13" customHeight="1" s="90">
      <c r="C107" s="217" t="inlineStr">
        <is>
          <t xml:space="preserve">    ax2.spines["right"].set_edgecolor(BLUE)</t>
        </is>
      </c>
    </row>
    <row r="108" ht="13" customHeight="1" s="90">
      <c r="C108" s="217" t="inlineStr">
        <is>
          <t xml:space="preserve">    ax2.spines["top"].set_visible(False)</t>
        </is>
      </c>
    </row>
    <row r="109" ht="13" customHeight="1" s="90">
      <c r="C109" s="217" t="inlineStr">
        <is>
          <t xml:space="preserve">    lines = [mpatches.Patch(color=BLUE, label="Big-5 CapEx ($bn)"),</t>
        </is>
      </c>
    </row>
    <row r="110" ht="13" customHeight="1" s="90">
      <c r="C110" s="217" t="inlineStr">
        <is>
          <t xml:space="preserve">             mpatches.Patch(color=GOLD, label="2024 (latest)"),</t>
        </is>
      </c>
    </row>
    <row r="111" ht="13" customHeight="1" s="90">
      <c r="C111" s="217" t="inlineStr">
        <is>
          <t xml:space="preserve">             plt.Line2D([0],[0], color=ACCENT, marker="o", label="VRT Rev Growth (%)"),</t>
        </is>
      </c>
    </row>
    <row r="112" ht="13" customHeight="1" s="90">
      <c r="C112" s="217" t="inlineStr">
        <is>
          <t xml:space="preserve">             plt.Line2D([0],[0], color=GREEN, marker="s", linestyle="--", label="PWR Rev Growth (%)")]</t>
        </is>
      </c>
    </row>
    <row r="113" ht="13" customHeight="1" s="90">
      <c r="C113" s="217" t="inlineStr">
        <is>
          <t xml:space="preserve">    ax1.legend(handles=lines, loc="upper left", fontsize=7.5, facecolor=BLUE, edgecolor=NAVY, labelcolor=WHITE)</t>
        </is>
      </c>
    </row>
    <row r="114" ht="13" customHeight="1" s="90">
      <c r="C114" s="217" t="inlineStr">
        <is>
          <t xml:space="preserve">    ax1.set_title("Hyperscaler CapEx vs Enabler Revenue Growth (2017-2024)", color=WHITE, fontsize=10, pad=10)</t>
        </is>
      </c>
    </row>
    <row r="115" ht="13" customHeight="1" s="90">
      <c r="C115" s="217" t="inlineStr">
        <is>
          <t xml:space="preserve">    fig.text(0.99, 0.01, "Source: Bloomberg, Goldman Sachs, VRT/PWR earnings. Workbook: 2_CapEx_Data", color=MID, fontsize=6, ha="right")</t>
        </is>
      </c>
    </row>
    <row r="116" ht="13" customHeight="1" s="90">
      <c r="C116" s="217" t="inlineStr">
        <is>
          <t xml:space="preserve">    fig.set_facecolor(NAVY)</t>
        </is>
      </c>
    </row>
    <row r="117" ht="13" customHeight="1" s="90">
      <c r="C117" s="217" t="inlineStr">
        <is>
          <t xml:space="preserve">    save(fig, "m01_capex_trend.png")</t>
        </is>
      </c>
    </row>
    <row r="118" ht="13" customHeight="1" s="90">
      <c r="C118" s="217" t="inlineStr"/>
    </row>
    <row r="119" ht="13" customHeight="1" s="90">
      <c r="C119" s="217" t="inlineStr">
        <is>
          <t xml:space="preserve">    # 2. OLS regression scatter</t>
        </is>
      </c>
    </row>
    <row r="120" ht="13" customHeight="1" s="90">
      <c r="C120" s="217" t="inlineStr">
        <is>
          <t xml:space="preserve">    from scipy import stats</t>
        </is>
      </c>
    </row>
    <row r="121" ht="13" customHeight="1" s="90">
      <c r="C121" s="217" t="inlineStr">
        <is>
          <t xml:space="preserve">    import statsmodels.api as sm</t>
        </is>
      </c>
    </row>
    <row r="122" ht="13" customHeight="1" s="90">
      <c r="C122" s="217" t="inlineStr">
        <is>
          <t xml:space="preserve">    x_ols = np.array(capex)</t>
        </is>
      </c>
    </row>
    <row r="123" ht="13" customHeight="1" s="90">
      <c r="C123" s="217" t="inlineStr">
        <is>
          <t xml:space="preserve">    y_ols = np.array(vrt_gr)</t>
        </is>
      </c>
    </row>
    <row r="124" ht="13" customHeight="1" s="90">
      <c r="C124" s="217" t="inlineStr">
        <is>
          <t xml:space="preserve">    slope, intercept, r, p, se = stats.linregress(x_ols, y_ols)</t>
        </is>
      </c>
    </row>
    <row r="125" ht="13" customHeight="1" s="90">
      <c r="C125" s="217" t="inlineStr">
        <is>
          <t xml:space="preserve">    x_line = np.linspace(min(x_ols)-5, max(x_ols)+10, 100)</t>
        </is>
      </c>
    </row>
    <row r="126" ht="13" customHeight="1" s="90">
      <c r="C126" s="217" t="inlineStr">
        <is>
          <t xml:space="preserve">    y_line = intercept + slope * x_line</t>
        </is>
      </c>
    </row>
    <row r="127" ht="13" customHeight="1" s="90">
      <c r="C127" s="217" t="inlineStr">
        <is>
          <t xml:space="preserve">    X = sm.add_constant(x_ols)</t>
        </is>
      </c>
    </row>
    <row r="128" ht="13" customHeight="1" s="90">
      <c r="C128" s="217" t="inlineStr">
        <is>
          <t xml:space="preserve">    model = sm.OLS(y_ols, X).fit()</t>
        </is>
      </c>
    </row>
    <row r="129" ht="13" customHeight="1" s="90">
      <c r="C129" s="217" t="inlineStr">
        <is>
          <t xml:space="preserve">    y_pred = model.fittedvalues</t>
        </is>
      </c>
    </row>
    <row r="130" ht="13" customHeight="1" s="90">
      <c r="C130" s="217" t="inlineStr">
        <is>
          <t xml:space="preserve">    se_fit = np.sqrt(model.mse_resid * (1/len(x_ols) + (x_ols - x_ols.mean())**2 / np.sum((x_ols - x_ols.mean())**2)))</t>
        </is>
      </c>
    </row>
    <row r="131" ht="13" customHeight="1" s="90">
      <c r="C131" s="217" t="inlineStr">
        <is>
          <t xml:space="preserve">    fig, ax = base_fig(9, 5)</t>
        </is>
      </c>
    </row>
    <row r="132" ht="13" customHeight="1" s="90">
      <c r="C132" s="217" t="inlineStr">
        <is>
          <t xml:space="preserve">    ci_x = np.linspace(min(x_ols), max(x_ols), 200)</t>
        </is>
      </c>
    </row>
    <row r="133" ht="13" customHeight="1" s="90">
      <c r="C133" s="217" t="inlineStr">
        <is>
          <t xml:space="preserve">    ci_y = intercept + slope * ci_x</t>
        </is>
      </c>
    </row>
    <row r="134" ht="13" customHeight="1" s="90">
      <c r="C134" s="217" t="inlineStr">
        <is>
          <t xml:space="preserve">    ci_se = np.sqrt(model.mse_resid * (1/len(x_ols) + (ci_x - x_ols.mean())**2 / np.sum((x_ols-x_ols.mean())**2)))</t>
        </is>
      </c>
    </row>
    <row r="135" ht="13" customHeight="1" s="90">
      <c r="C135" s="217" t="inlineStr">
        <is>
          <t xml:space="preserve">    ax.fill_between(ci_x, ci_y - 1.96*ci_se, ci_y + 1.96*ci_se, alpha=0.15, color=ACCENT, label="95% CI")</t>
        </is>
      </c>
    </row>
    <row r="136" ht="13" customHeight="1" s="90">
      <c r="C136" s="217" t="inlineStr">
        <is>
          <t xml:space="preserve">    ax.plot(x_line, y_line, color=ACCENT, linewidth=1.8, zorder=4)</t>
        </is>
      </c>
    </row>
    <row r="137" ht="13" customHeight="1" s="90">
      <c r="C137" s="217" t="inlineStr">
        <is>
          <t xml:space="preserve">    sc = ax.scatter(x_ols, y_ols, color=GOLD, s=60, zorder=5, edgecolors=WHITE, linewidth=0.5)</t>
        </is>
      </c>
    </row>
    <row r="138" ht="13" customHeight="1" s="90">
      <c r="C138" s="217" t="inlineStr">
        <is>
          <t xml:space="preserve">    for xi, yi, yr in zip(x_ols, y_ols, years):</t>
        </is>
      </c>
    </row>
    <row r="139" ht="13" customHeight="1" s="90">
      <c r="C139" s="217" t="inlineStr">
        <is>
          <t xml:space="preserve">        ax.annotate(str(yr), (xi, yi), textcoords="offset points", xytext=(4, 4), fontsize=6.5, color=MID)</t>
        </is>
      </c>
    </row>
    <row r="140" ht="13" customHeight="1" s="90">
      <c r="C140" s="217" t="inlineStr">
        <is>
          <t xml:space="preserve">    ax.set_xlabel("Big-5 CapEx ($bn)", fontsize=8)</t>
        </is>
      </c>
    </row>
    <row r="141" ht="13" customHeight="1" s="90">
      <c r="C141" s="217" t="inlineStr">
        <is>
          <t xml:space="preserve">    ax.set_ylabel("VRT Revenue Growth (%)", fontsize=8)</t>
        </is>
      </c>
    </row>
    <row r="142" ht="13" customHeight="1" s="90">
      <c r="C142" s="217" t="inlineStr">
        <is>
          <t xml:space="preserve">    ax.set_title(f"OLS: Hyperscaler CapEx → VRT Revenue Growth  |  R²={r**2:.3f}, p={p:.4f}", color=WHITE, fontsize=9.5, pad=10)</t>
        </is>
      </c>
    </row>
    <row r="143" ht="13" customHeight="1" s="90">
      <c r="C143" s="217" t="inlineStr">
        <is>
          <t xml:space="preserve">    ax.text(0.97, 0.07, f"y = {slope:.3f}x + {intercept:.2f}\nR² = {r**2:.3f}  |  p = {p:.4f}", transform=ax.transAxes,</t>
        </is>
      </c>
    </row>
    <row r="144" ht="13" customHeight="1" s="90">
      <c r="C144" s="217" t="inlineStr">
        <is>
          <t xml:space="preserve">            ha="right", va="bottom", color=MID, fontsize=7.5, bbox=dict(boxstyle="round,pad=0.3", facecolor=BLUE, edgecolor=BLUE))</t>
        </is>
      </c>
    </row>
    <row r="145" ht="13" customHeight="1" s="90">
      <c r="C145" s="217" t="inlineStr">
        <is>
          <t xml:space="preserve">    ax.legend(fontsize=7.5, facecolor=BLUE, edgecolor=NAVY, labelcolor=WHITE)</t>
        </is>
      </c>
    </row>
    <row r="146" ht="13" customHeight="1" s="90">
      <c r="C146" s="217" t="inlineStr">
        <is>
          <t xml:space="preserve">    fig.text(0.99, 0.01, "Source: Bloomberg, VRT 10-K, Goldman Sachs. Workbook: 4_OLS_CapEx_Revenue", color=MID, fontsize=6, ha="right")</t>
        </is>
      </c>
    </row>
    <row r="147" ht="13" customHeight="1" s="90">
      <c r="C147" s="217" t="inlineStr">
        <is>
          <t xml:space="preserve">    save(fig, "m01_ols_regression.png")</t>
        </is>
      </c>
    </row>
    <row r="148" ht="13" customHeight="1" s="90">
      <c r="C148" s="217" t="inlineStr"/>
    </row>
    <row r="149" ht="13" customHeight="1" s="90">
      <c r="C149" s="217" t="inlineStr">
        <is>
          <t xml:space="preserve">    # 3. Valuation comparison — current fwd P/E</t>
        </is>
      </c>
    </row>
    <row r="150" ht="13" customHeight="1" s="90">
      <c r="C150" s="217" t="inlineStr">
        <is>
          <t xml:space="preserve">    ws_vc = wb["3_Valuation_Comps"]</t>
        </is>
      </c>
    </row>
    <row r="151" ht="13" customHeight="1" s="90">
      <c r="C151" s="217" t="inlineStr">
        <is>
          <t xml:space="preserve">    companies, tickers, pe_curr, pe_5yr, ai_pct = [], [], [], [], []</t>
        </is>
      </c>
    </row>
    <row r="152" ht="13" customHeight="1" s="90">
      <c r="C152" s="217" t="inlineStr">
        <is>
          <t xml:space="preserve">    for row in ws_vc.iter_rows(min_row=4, max_row=11, values_only=True):</t>
        </is>
      </c>
    </row>
    <row r="153" ht="13" customHeight="1" s="90">
      <c r="C153" s="217" t="inlineStr">
        <is>
          <t xml:space="preserve">        if row[0] and row[0] not in ("Company",):</t>
        </is>
      </c>
    </row>
    <row r="154" ht="13" customHeight="1" s="90">
      <c r="C154" s="217" t="inlineStr">
        <is>
          <t xml:space="preserve">            companies.append(str(row[0]).split()[0])</t>
        </is>
      </c>
    </row>
    <row r="155" ht="13" customHeight="1" s="90">
      <c r="C155" s="217" t="inlineStr">
        <is>
          <t xml:space="preserve">            tickers.append(str(row[1]) if row[1] else "")</t>
        </is>
      </c>
    </row>
    <row r="156" ht="13" customHeight="1" s="90">
      <c r="C156" s="217" t="inlineStr">
        <is>
          <t xml:space="preserve">            pe_curr.append(float(row[3]) if row[3] and isinstance(row[3],(int,float)) else 0)</t>
        </is>
      </c>
    </row>
    <row r="157" ht="13" customHeight="1" s="90">
      <c r="C157" s="217" t="inlineStr">
        <is>
          <t xml:space="preserve">            pe_5yr.append(float(row[4]) if row[4] and isinstance(row[4],(int,float)) else 0)</t>
        </is>
      </c>
    </row>
    <row r="158" ht="13" customHeight="1" s="90">
      <c r="C158" s="217" t="inlineStr">
        <is>
          <t xml:space="preserve">    fig, ax = base_fig(10, 5)</t>
        </is>
      </c>
    </row>
    <row r="159" ht="13" customHeight="1" s="90">
      <c r="C159" s="217" t="inlineStr">
        <is>
          <t xml:space="preserve">    x = np.arange(len(companies))</t>
        </is>
      </c>
    </row>
    <row r="160" ht="13" customHeight="1" s="90">
      <c r="C160" s="217" t="inlineStr">
        <is>
          <t xml:space="preserve">    w = 0.35</t>
        </is>
      </c>
    </row>
    <row r="161" ht="13" customHeight="1" s="90">
      <c r="C161" s="217" t="inlineStr">
        <is>
          <t xml:space="preserve">    # Color by category</t>
        </is>
      </c>
    </row>
    <row r="162" ht="13" customHeight="1" s="90">
      <c r="C162" s="217" t="inlineStr">
        <is>
          <t xml:space="preserve">    colors_curr = [GREEN if c in ("Vertiv","GE","Quanta") else BLUE if c == "Arista" else RED for c in companies]</t>
        </is>
      </c>
    </row>
    <row r="163" ht="13" customHeight="1" s="90">
      <c r="C163" s="217" t="inlineStr">
        <is>
          <t xml:space="preserve">    colors_avg  = [GOLD]*len(companies)</t>
        </is>
      </c>
    </row>
    <row r="164" ht="13" customHeight="1" s="90">
      <c r="C164" s="217" t="inlineStr">
        <is>
          <t xml:space="preserve">    ax.bar(x - w/2, pe_curr, w, color=colors_curr, alpha=0.85, label="Current Fwd P/E")</t>
        </is>
      </c>
    </row>
    <row r="165" ht="13" customHeight="1" s="90">
      <c r="C165" s="217" t="inlineStr">
        <is>
          <t xml:space="preserve">    ax.bar(x + w/2, pe_5yr,  w, color=GOLD, alpha=0.55, label="5yr Avg P/E", hatch="//")</t>
        </is>
      </c>
    </row>
    <row r="166" ht="13" customHeight="1" s="90">
      <c r="C166" s="217" t="inlineStr">
        <is>
          <t xml:space="preserve">    ax.set_xticks(x); ax.set_xticklabels([f"{c}\n{t}" for c,t in zip(companies,tickers)], color=MID, fontsize=7.5)</t>
        </is>
      </c>
    </row>
    <row r="167" ht="13" customHeight="1" s="90">
      <c r="C167" s="217" t="inlineStr">
        <is>
          <t xml:space="preserve">    ax.set_ylabel("Forward P/E (x)", color=MID, fontsize=8)</t>
        </is>
      </c>
    </row>
    <row r="168" ht="13" customHeight="1" s="90">
      <c r="C168" s="217" t="inlineStr">
        <is>
          <t xml:space="preserve">    ax.set_title("AI Infrastructure: Enablers vs AI-Facing Peer Valuations", color=WHITE, fontsize=10, pad=10)</t>
        </is>
      </c>
    </row>
    <row r="169" ht="13" customHeight="1" s="90">
      <c r="C169" s="217" t="inlineStr">
        <is>
          <t xml:space="preserve">    # Divider line</t>
        </is>
      </c>
    </row>
    <row r="170" ht="13" customHeight="1" s="90">
      <c r="C170" s="217" t="inlineStr">
        <is>
          <t xml:space="preserve">    ax.axvline(x=3.5, color=MID, linewidth=1, linestyle="--", alpha=0.5)</t>
        </is>
      </c>
    </row>
    <row r="171" ht="13" customHeight="1" s="90">
      <c r="C171" s="217" t="inlineStr">
        <is>
          <t xml:space="preserve">    ax.text(1.5, max(pe_curr)*0.92, "Enablers", color=GREEN, fontsize=8.5, ha="center", fontweight="bold")</t>
        </is>
      </c>
    </row>
    <row r="172" ht="13" customHeight="1" s="90">
      <c r="C172" s="217" t="inlineStr">
        <is>
          <t xml:space="preserve">    ax.text(5.2, max(pe_curr)*0.92, "AI-Facing", color=RED, fontsize=8.5, ha="center", fontweight="bold")</t>
        </is>
      </c>
    </row>
    <row r="173" ht="13" customHeight="1" s="90">
      <c r="C173" s="217" t="inlineStr">
        <is>
          <t xml:space="preserve">    ax.legend(fontsize=7.5, facecolor=BLUE, edgecolor=NAVY, labelcolor=WHITE)</t>
        </is>
      </c>
    </row>
    <row r="174" ht="13" customHeight="1" s="90">
      <c r="C174" s="217" t="inlineStr">
        <is>
          <t xml:space="preserve">    fig.text(0.99, 0.01, "Source: FactSet, Bloomberg Q1 2026. Workbook: 3_Valuation_Comps", color=MID, fontsize=6, ha="right")</t>
        </is>
      </c>
    </row>
    <row r="175" ht="13" customHeight="1" s="90">
      <c r="C175" s="217" t="inlineStr">
        <is>
          <t xml:space="preserve">    save(fig, "m01_pe_comparison.png")</t>
        </is>
      </c>
    </row>
    <row r="176" ht="13" customHeight="1" s="90">
      <c r="C176" s="217" t="inlineStr"/>
    </row>
    <row r="177" ht="13" customHeight="1" s="90">
      <c r="C177" s="217" t="inlineStr">
        <is>
          <t xml:space="preserve">    # 4. Discount to AI-facing peers — horizontal bar</t>
        </is>
      </c>
    </row>
    <row r="178" ht="13" customHeight="1" s="90">
      <c r="C178" s="217" t="inlineStr">
        <is>
          <t xml:space="preserve">    names = ["Vertiv (VRT)", "GE Vernova (GEV)", "Quanta (PWR)", "Arista (ANET)"]</t>
        </is>
      </c>
    </row>
    <row r="179" ht="13" customHeight="1" s="90">
      <c r="C179" s="217" t="inlineStr">
        <is>
          <t xml:space="preserve">    discounts = [-51, -48, -50, -14]</t>
        </is>
      </c>
    </row>
    <row r="180" ht="13" customHeight="1" s="90">
      <c r="C180" s="217" t="inlineStr">
        <is>
          <t xml:space="preserve">    fig, ax = base_fig(8, 4)</t>
        </is>
      </c>
    </row>
    <row r="181" ht="13" customHeight="1" s="90">
      <c r="C181" s="217" t="inlineStr">
        <is>
          <t xml:space="preserve">    colors = [RED if d &lt; -30 else GOLD for d in discounts]</t>
        </is>
      </c>
    </row>
    <row r="182" ht="13" customHeight="1" s="90">
      <c r="C182" s="217" t="inlineStr">
        <is>
          <t xml:space="preserve">    bars = ax.barh(names, discounts, color=colors, alpha=0.85, height=0.45)</t>
        </is>
      </c>
    </row>
    <row r="183" ht="13" customHeight="1" s="90">
      <c r="C183" s="217" t="inlineStr">
        <is>
          <t xml:space="preserve">    ax.axvline(0, color=MID, linewidth=1)</t>
        </is>
      </c>
    </row>
    <row r="184" ht="13" customHeight="1" s="90">
      <c r="C184" s="217" t="inlineStr">
        <is>
          <t xml:space="preserve">    ax.set_xlabel("Discount to AI-Facing Peers (%)", fontsize=8)</t>
        </is>
      </c>
    </row>
    <row r="185" ht="13" customHeight="1" s="90">
      <c r="C185" s="217" t="inlineStr">
        <is>
          <t xml:space="preserve">    ax.set_title("P/E Discount: Infrastructure Enablers vs AI-Facing Benchmark", color=WHITE, fontsize=9.5, pad=10)</t>
        </is>
      </c>
    </row>
    <row r="186" ht="13" customHeight="1" s="90">
      <c r="C186" s="217" t="inlineStr">
        <is>
          <t xml:space="preserve">    for bar, d in zip(bars, discounts):</t>
        </is>
      </c>
    </row>
    <row r="187" ht="13" customHeight="1" s="90">
      <c r="C187" s="217" t="inlineStr">
        <is>
          <t xml:space="preserve">        ax.text(d - 1, bar.get_y() + bar.get_height()/2, f"{d}%", ha="right", va="center", color=WHITE, fontsize=8.5, fontweight="bold")</t>
        </is>
      </c>
    </row>
    <row r="188" ht="13" customHeight="1" s="90">
      <c r="C188" s="217" t="inlineStr">
        <is>
          <t xml:space="preserve">    ax.tick_params(axis="y", colors=MID, labelsize=8)</t>
        </is>
      </c>
    </row>
    <row r="189" ht="13" customHeight="1" s="90">
      <c r="C189" s="217" t="inlineStr">
        <is>
          <t xml:space="preserve">    fig.text(0.99, 0.01, "Source: FactSet Q1 2026. Workbook: 3_Valuation_Comps", color=MID, fontsize=6, ha="right")</t>
        </is>
      </c>
    </row>
    <row r="190" ht="13" customHeight="1" s="90">
      <c r="C190" s="217" t="inlineStr">
        <is>
          <t xml:space="preserve">    save(fig, "m01_pe_discount_bar.png")</t>
        </is>
      </c>
    </row>
    <row r="191" ht="13" customHeight="1" s="90">
      <c r="C191" s="217" t="inlineStr"/>
    </row>
    <row r="192" ht="13" customHeight="1" s="90">
      <c r="C192" s="217" t="inlineStr">
        <is>
          <t xml:space="preserve">    # 5. Scenario returns bar chart</t>
        </is>
      </c>
    </row>
    <row r="193" ht="13" customHeight="1" s="90">
      <c r="C193" s="217" t="inlineStr">
        <is>
          <t xml:space="preserve">    ws_sc = wb["5_Scenario_Model"]</t>
        </is>
      </c>
    </row>
    <row r="194" ht="13" customHeight="1" s="90">
      <c r="C194" s="217" t="inlineStr">
        <is>
          <t xml:space="preserve">    scenarios = ["Bear\n(stays industrial)", "Base\n(partial re-rate)", "Bull\n(infra re-rate)", "Full\n(AI-peer parity)"]</t>
        </is>
      </c>
    </row>
    <row r="195" ht="13" customHeight="1" s="90">
      <c r="C195" s="217" t="inlineStr">
        <is>
          <t xml:space="preserve">    returns = [-19.5, 47.5, 87.7, 125.3]</t>
        </is>
      </c>
    </row>
    <row r="196" ht="13" customHeight="1" s="90">
      <c r="C196" s="217" t="inlineStr">
        <is>
          <t xml:space="preserve">    fig, ax = base_fig(9, 4.5)</t>
        </is>
      </c>
    </row>
    <row r="197" ht="13" customHeight="1" s="90">
      <c r="C197" s="217" t="inlineStr">
        <is>
          <t xml:space="preserve">    colors_s = [RED if r &lt; 0 else GREEN if r &gt; 50 else GOLD for r in returns]</t>
        </is>
      </c>
    </row>
    <row r="198" ht="13" customHeight="1" s="90">
      <c r="C198" s="217" t="inlineStr">
        <is>
          <t xml:space="preserve">    bars = ax.bar(scenarios, returns, color=colors_s, alpha=0.9, width=0.5)</t>
        </is>
      </c>
    </row>
    <row r="199" ht="13" customHeight="1" s="90">
      <c r="C199" s="217" t="inlineStr">
        <is>
          <t xml:space="preserve">    ax.axhline(0, color=MID, linewidth=1)</t>
        </is>
      </c>
    </row>
    <row r="200" ht="13" customHeight="1" s="90">
      <c r="C200" s="217" t="inlineStr">
        <is>
          <t xml:space="preserve">    ax.set_ylabel("Implied Total Return (%)", fontsize=8)</t>
        </is>
      </c>
    </row>
    <row r="201" ht="13" customHeight="1" s="90">
      <c r="C201" s="217" t="inlineStr">
        <is>
          <t xml:space="preserve">    ax.set_title("AI Infrastructure: Valuation Re-rating Scenario Returns\nEntry P/E 22x | EPS Growth +18% | Time Horizon 12-18 months", color=WHITE, fontsize=9.5, pad=10)</t>
        </is>
      </c>
    </row>
    <row r="202" ht="13" customHeight="1" s="90">
      <c r="C202" s="217" t="inlineStr">
        <is>
          <t xml:space="preserve">    for bar, r in zip(bars, returns):</t>
        </is>
      </c>
    </row>
    <row r="203" ht="13" customHeight="1" s="90">
      <c r="C203" s="217" t="inlineStr">
        <is>
          <t xml:space="preserve">        ypos = r + 2 if r &gt;= 0 else r - 5</t>
        </is>
      </c>
    </row>
    <row r="204" ht="13" customHeight="1" s="90">
      <c r="C204" s="217" t="inlineStr">
        <is>
          <t xml:space="preserve">        ax.text(bar.get_x() + bar.get_width()/2, ypos, f"{r:+.1f}%", ha="center", color=WHITE, fontsize=8.5, fontweight="bold")</t>
        </is>
      </c>
    </row>
    <row r="205" ht="13" customHeight="1" s="90">
      <c r="C205" s="217" t="inlineStr">
        <is>
          <t xml:space="preserve">    ax.tick_params(axis="x", colors=MID, labelsize=8)</t>
        </is>
      </c>
    </row>
    <row r="206" ht="13" customHeight="1" s="90">
      <c r="C206" s="217" t="inlineStr">
        <is>
          <t xml:space="preserve">    fig.text(0.99, 0.01, "Source: Author calculations, FactSet. Workbook: 5_Scenario_Model", color=MID, fontsize=6, ha="right")</t>
        </is>
      </c>
    </row>
    <row r="207" ht="13" customHeight="1" s="90">
      <c r="C207" s="217" t="inlineStr">
        <is>
          <t xml:space="preserve">    save(fig, "m01_scenarios.png")</t>
        </is>
      </c>
    </row>
    <row r="208" ht="13" customHeight="1" s="90">
      <c r="C208" s="217" t="inlineStr"/>
    </row>
    <row r="209" ht="13" customHeight="1" s="90">
      <c r="C209" s="217" t="inlineStr">
        <is>
          <t xml:space="preserve">    # 6. US grid electricity demand</t>
        </is>
      </c>
    </row>
    <row r="210" ht="13" customHeight="1" s="90">
      <c r="C210" s="217" t="inlineStr">
        <is>
          <t xml:space="preserve">    grid_years = ["2022\n(Actual)", "2024\n(Estimate)", "2026E\n(Projection)", "2028E\n(Projection)"]</t>
        </is>
      </c>
    </row>
    <row r="211" ht="13" customHeight="1" s="90">
      <c r="C211" s="217" t="inlineStr">
        <is>
          <t xml:space="preserve">    grid_demand = [25, 40, 76, 95]</t>
        </is>
      </c>
    </row>
    <row r="212" ht="13" customHeight="1" s="90">
      <c r="C212" s="217" t="inlineStr">
        <is>
          <t xml:space="preserve">    fig, ax = base_fig(8, 4.5)</t>
        </is>
      </c>
    </row>
    <row r="213" ht="13" customHeight="1" s="90">
      <c r="C213" s="217" t="inlineStr">
        <is>
          <t xml:space="preserve">    colors_g = [BLUE, BLUE, GOLD, RED]</t>
        </is>
      </c>
    </row>
    <row r="214" ht="13" customHeight="1" s="90">
      <c r="C214" s="217" t="inlineStr">
        <is>
          <t xml:space="preserve">    bars = ax.bar(grid_years, grid_demand, color=colors_g, alpha=0.85, width=0.5)</t>
        </is>
      </c>
    </row>
    <row r="215" ht="13" customHeight="1" s="90">
      <c r="C215" s="217" t="inlineStr">
        <is>
          <t xml:space="preserve">    ax.set_ylabel("US Data Centre Power Demand (GW)", fontsize=8)</t>
        </is>
      </c>
    </row>
    <row r="216" ht="13" customHeight="1" s="90">
      <c r="C216" s="217" t="inlineStr">
        <is>
          <t xml:space="preserve">    ax.set_title("US Data Centre Electricity Demand Growth\nMorgan Stanley projects 49GW grid shortfall by 2028", color=WHITE, fontsize=9.5, pad=10)</t>
        </is>
      </c>
    </row>
    <row r="217" ht="13" customHeight="1" s="90">
      <c r="C217" s="217" t="inlineStr">
        <is>
          <t xml:space="preserve">    for bar, d in zip(bars, grid_demand):</t>
        </is>
      </c>
    </row>
    <row r="218" ht="13" customHeight="1" s="90">
      <c r="C218" s="217" t="inlineStr">
        <is>
          <t xml:space="preserve">        ax.text(bar.get_x() + bar.get_width()/2, d + 0.8, f"{d} GW", ha="center", color=WHITE, fontsize=8.5, fontweight="bold")</t>
        </is>
      </c>
    </row>
    <row r="219" ht="13" customHeight="1" s="90">
      <c r="C219" s="217" t="inlineStr">
        <is>
          <t xml:space="preserve">    fig.text(0.99, 0.01, "Source: S&amp;P Global, Morgan Stanley, IEA. Workbook: 1_Summary", color=MID, fontsize=6, ha="right")</t>
        </is>
      </c>
    </row>
    <row r="220" ht="13" customHeight="1" s="90">
      <c r="C220" s="217" t="inlineStr">
        <is>
          <t xml:space="preserve">    save(fig, "m01_grid_demand.png")</t>
        </is>
      </c>
    </row>
    <row r="221" ht="13" customHeight="1" s="90">
      <c r="C221" s="217" t="inlineStr"/>
    </row>
    <row r="222" ht="13" customHeight="1" s="90">
      <c r="C222" s="217" t="inlineStr"/>
    </row>
    <row r="223" ht="13" customHeight="1" s="90">
      <c r="C223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224" ht="13" customHeight="1" s="90">
      <c r="C224" s="217" t="inlineStr">
        <is>
          <t># SHORT MEMO 02 — European Equities</t>
        </is>
      </c>
    </row>
    <row r="225" ht="13" customHeight="1" s="90">
      <c r="C225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226" ht="13" customHeight="1" s="90">
      <c r="C226" s="217" t="inlineStr">
        <is>
          <t>def memo02_charts():</t>
        </is>
      </c>
    </row>
    <row r="227" ht="13" customHeight="1" s="90">
      <c r="C227" s="217" t="inlineStr">
        <is>
          <t xml:space="preserve">    wb = openpyxl.load_workbook("mnt/outputs/memo-02-european-equities-data.xlsx", data_only=True)</t>
        </is>
      </c>
    </row>
    <row r="228" ht="13" customHeight="1" s="90">
      <c r="C228" s="217" t="inlineStr"/>
    </row>
    <row r="229" ht="13" customHeight="1" s="90">
      <c r="C229" s="217" t="inlineStr">
        <is>
          <t xml:space="preserve">    # --- PE History ---</t>
        </is>
      </c>
    </row>
    <row r="230" ht="13" customHeight="1" s="90">
      <c r="C230" s="217" t="inlineStr">
        <is>
          <t xml:space="preserve">    ws_pe = wb["2_PE_History"]</t>
        </is>
      </c>
    </row>
    <row r="231" ht="13" customHeight="1" s="90">
      <c r="C231" s="217" t="inlineStr">
        <is>
          <t xml:space="preserve">    years_pe, eu_pe, us_pe, disc, eu_ret = [], [], [], [], []</t>
        </is>
      </c>
    </row>
    <row r="232" ht="13" customHeight="1" s="90">
      <c r="C232" s="217" t="inlineStr">
        <is>
          <t xml:space="preserve">    for row in ws_pe.iter_rows(min_row=5, max_row=32, values_only=True):</t>
        </is>
      </c>
    </row>
    <row r="233" ht="13" customHeight="1" s="90">
      <c r="C233" s="217" t="inlineStr">
        <is>
          <t xml:space="preserve">        if row[0] and isinstance(row[0], (int, float)):</t>
        </is>
      </c>
    </row>
    <row r="234" ht="13" customHeight="1" s="90">
      <c r="C234" s="217" t="inlineStr">
        <is>
          <t xml:space="preserve">            y = int(row[0])</t>
        </is>
      </c>
    </row>
    <row r="235" ht="13" customHeight="1" s="90">
      <c r="C235" s="217" t="inlineStr">
        <is>
          <t xml:space="preserve">            eu = float(row[1]) if row[1] else None</t>
        </is>
      </c>
    </row>
    <row r="236" ht="13" customHeight="1" s="90">
      <c r="C236" s="217" t="inlineStr">
        <is>
          <t xml:space="preserve">            us = float(row[2]) if row[2] else None</t>
        </is>
      </c>
    </row>
    <row r="237" ht="13" customHeight="1" s="90">
      <c r="C237" s="217" t="inlineStr">
        <is>
          <t xml:space="preserve">            if eu and us:</t>
        </is>
      </c>
    </row>
    <row r="238" ht="13" customHeight="1" s="90">
      <c r="C238" s="217" t="inlineStr">
        <is>
          <t xml:space="preserve">                years_pe.append(y)</t>
        </is>
      </c>
    </row>
    <row r="239" ht="13" customHeight="1" s="90">
      <c r="C239" s="217" t="inlineStr">
        <is>
          <t xml:space="preserve">                eu_pe.append(eu)</t>
        </is>
      </c>
    </row>
    <row r="240" ht="13" customHeight="1" s="90">
      <c r="C240" s="217" t="inlineStr">
        <is>
          <t xml:space="preserve">                us_pe.append(us)</t>
        </is>
      </c>
    </row>
    <row r="241" ht="13" customHeight="1" s="90">
      <c r="C241" s="217" t="inlineStr">
        <is>
          <t xml:space="preserve">                disc.append((eu/us - 1) * 100)  # calculate ourselves</t>
        </is>
      </c>
    </row>
    <row r="242" ht="13" customHeight="1" s="90">
      <c r="C242" s="217" t="inlineStr">
        <is>
          <t xml:space="preserve">                eu_ret.append(float(row[6]) if row[6] else None)</t>
        </is>
      </c>
    </row>
    <row r="243" ht="13" customHeight="1" s="90">
      <c r="C243" s="217" t="inlineStr"/>
    </row>
    <row r="244" ht="13" customHeight="1" s="90">
      <c r="C244" s="217" t="inlineStr">
        <is>
          <t xml:space="preserve">    # 1. P/E absolute levels - MSCI Europe vs S&amp;P 500</t>
        </is>
      </c>
    </row>
    <row r="245" ht="13" customHeight="1" s="90">
      <c r="C245" s="217" t="inlineStr">
        <is>
          <t xml:space="preserve">    fig, ax = base_fig(11, 5)</t>
        </is>
      </c>
    </row>
    <row r="246" ht="13" customHeight="1" s="90">
      <c r="C246" s="217" t="inlineStr">
        <is>
          <t xml:space="preserve">    ax.fill_between(years_pe, eu_pe, alpha=0.15, color=BLUE)</t>
        </is>
      </c>
    </row>
    <row r="247" ht="13" customHeight="1" s="90">
      <c r="C247" s="217" t="inlineStr">
        <is>
          <t xml:space="preserve">    ax.fill_between(years_pe, us_pe, alpha=0.1, color=ACCENT)</t>
        </is>
      </c>
    </row>
    <row r="248" ht="13" customHeight="1" s="90">
      <c r="C248" s="217" t="inlineStr">
        <is>
          <t xml:space="preserve">    ax.plot(years_pe, eu_pe, color=BLUE, linewidth=2, marker="o", markersize=3.5, label="MSCI Europe NTM P/E")</t>
        </is>
      </c>
    </row>
    <row r="249" ht="13" customHeight="1" s="90">
      <c r="C249" s="217" t="inlineStr">
        <is>
          <t xml:space="preserve">    ax.plot(years_pe, us_pe, color=ACCENT, linewidth=2, marker="s", markersize=3.5, label="S&amp;P 500 NTM P/E")</t>
        </is>
      </c>
    </row>
    <row r="250" ht="13" customHeight="1" s="90">
      <c r="C250" s="217" t="inlineStr">
        <is>
          <t xml:space="preserve">    ax.set_ylabel("Forward P/E (x)", fontsize=8)</t>
        </is>
      </c>
    </row>
    <row r="251" ht="13" customHeight="1" s="90">
      <c r="C251" s="217" t="inlineStr">
        <is>
          <t xml:space="preserve">    ax.set_title("MSCI Europe vs S&amp;P 500 — Forward P/E Absolute Levels (2000-2024)", color=WHITE, fontsize=10, pad=10)</t>
        </is>
      </c>
    </row>
    <row r="252" ht="13" customHeight="1" s="90">
      <c r="C252" s="217" t="inlineStr">
        <is>
          <t xml:space="preserve">    ax.legend(fontsize=8, facecolor=BLUE, edgecolor=NAVY, labelcolor=WHITE)</t>
        </is>
      </c>
    </row>
    <row r="253" ht="13" customHeight="1" s="90">
      <c r="C253" s="217" t="inlineStr">
        <is>
          <t xml:space="preserve">    # Mark current levels</t>
        </is>
      </c>
    </row>
    <row r="254" ht="13" customHeight="1" s="90">
      <c r="C254" s="217" t="inlineStr">
        <is>
          <t xml:space="preserve">    ax.axhline(13, color=BLUE, linewidth=0.8, linestyle=":", alpha=0.6)</t>
        </is>
      </c>
    </row>
    <row r="255" ht="13" customHeight="1" s="90">
      <c r="C255" s="217" t="inlineStr">
        <is>
          <t xml:space="preserve">    ax.axhline(21, color=ACCENT, linewidth=0.8, linestyle=":", alpha=0.6)</t>
        </is>
      </c>
    </row>
    <row r="256" ht="13" customHeight="1" s="90">
      <c r="C256" s="217" t="inlineStr">
        <is>
          <t xml:space="preserve">    ax.text(years_pe[-1]+0.3, 13.3, "Current EU: 13x", color=BLUE, fontsize=7)</t>
        </is>
      </c>
    </row>
    <row r="257" ht="13" customHeight="1" s="90">
      <c r="C257" s="217" t="inlineStr">
        <is>
          <t xml:space="preserve">    ax.text(years_pe[-1]+0.3, 21.3, "Current US: 21x", color=ACCENT, fontsize=7)</t>
        </is>
      </c>
    </row>
    <row r="258" ht="13" customHeight="1" s="90">
      <c r="C258" s="217" t="inlineStr">
        <is>
          <t xml:space="preserve">    ax.set_xlim(years_pe[0]-0.5, years_pe[-1]+2)</t>
        </is>
      </c>
    </row>
    <row r="259" ht="13" customHeight="1" s="90">
      <c r="C259" s="217" t="inlineStr">
        <is>
          <t xml:space="preserve">    fig.text(0.99, 0.01, "Source: Bloomberg, MSCI, FactSet. Workbook: 2_PE_History", color=MID, fontsize=6, ha="right")</t>
        </is>
      </c>
    </row>
    <row r="260" ht="13" customHeight="1" s="90">
      <c r="C260" s="217" t="inlineStr">
        <is>
          <t xml:space="preserve">    save(fig, "m02_pe_absolute.png")</t>
        </is>
      </c>
    </row>
    <row r="261" ht="13" customHeight="1" s="90">
      <c r="C261" s="217" t="inlineStr"/>
    </row>
    <row r="262" ht="13" customHeight="1" s="90">
      <c r="C262" s="217" t="inlineStr">
        <is>
          <t xml:space="preserve">    # 2. P/E discount 20yr history</t>
        </is>
      </c>
    </row>
    <row r="263" ht="13" customHeight="1" s="90">
      <c r="C263" s="217" t="inlineStr">
        <is>
          <t xml:space="preserve">    fig, ax = base_fig(11, 5)</t>
        </is>
      </c>
    </row>
    <row r="264" ht="13" customHeight="1" s="90">
      <c r="C264" s="217" t="inlineStr">
        <is>
          <t xml:space="preserve">    colors_d = [RED if d &lt; -30 else GOLD if d &lt; -15 else GREEN for d in disc]</t>
        </is>
      </c>
    </row>
    <row r="265" ht="13" customHeight="1" s="90">
      <c r="C265" s="217" t="inlineStr">
        <is>
          <t xml:space="preserve">    ax.fill_between(years_pe, disc, [0]*len(disc), alpha=0.2, color=RED, where=[d &lt; 0 for d in disc])</t>
        </is>
      </c>
    </row>
    <row r="266" ht="13" customHeight="1" s="90">
      <c r="C266" s="217" t="inlineStr">
        <is>
          <t xml:space="preserve">    ax.fill_between(years_pe, disc, [0]*len(disc), alpha=0.15, color=GREEN, where=[d &gt;= 0 for d in disc])</t>
        </is>
      </c>
    </row>
    <row r="267" ht="13" customHeight="1" s="90">
      <c r="C267" s="217" t="inlineStr">
        <is>
          <t xml:space="preserve">    ax.plot(years_pe, disc, color=GOLD, linewidth=2, label="EU/US P/E Discount (%)")</t>
        </is>
      </c>
    </row>
    <row r="268" ht="13" customHeight="1" s="90">
      <c r="C268" s="217" t="inlineStr">
        <is>
          <t xml:space="preserve">    avg_disc = np.mean(disc)</t>
        </is>
      </c>
    </row>
    <row r="269" ht="13" customHeight="1" s="90">
      <c r="C269" s="217" t="inlineStr">
        <is>
          <t xml:space="preserve">    ax.axhline(avg_disc, color=GREEN, linewidth=1.5, linestyle="--", alpha=0.7, label=f"20yr avg: {avg_disc:.1f}%")</t>
        </is>
      </c>
    </row>
    <row r="270" ht="13" customHeight="1" s="90">
      <c r="C270" s="217" t="inlineStr">
        <is>
          <t xml:space="preserve">    ax.axhline(-38, color=RED, linewidth=1, linestyle=":", alpha=0.6)</t>
        </is>
      </c>
    </row>
    <row r="271" ht="13" customHeight="1" s="90">
      <c r="C271" s="217" t="inlineStr">
        <is>
          <t xml:space="preserve">    ax.text(years_pe[-3], -36, "Current: -38%", color=RED, fontsize=7.5, ha="right")</t>
        </is>
      </c>
    </row>
    <row r="272" ht="13" customHeight="1" s="90">
      <c r="C272" s="217" t="inlineStr">
        <is>
          <t xml:space="preserve">    ax.set_ylabel("P/E Discount (%)", fontsize=8)</t>
        </is>
      </c>
    </row>
    <row r="273" ht="13" customHeight="1" s="90">
      <c r="C273" s="217" t="inlineStr">
        <is>
          <t xml:space="preserve">    ax.set_title("MSCI Europe vs S&amp;P 500 P/E Discount — 20-Year History", color=WHITE, fontsize=10, pad=10)</t>
        </is>
      </c>
    </row>
    <row r="274" ht="13" customHeight="1" s="90">
      <c r="C274" s="217" t="inlineStr">
        <is>
          <t xml:space="preserve">    ax.legend(fontsize=8, facecolor=BLUE, edgecolor=NAVY, labelcolor=WHITE)</t>
        </is>
      </c>
    </row>
    <row r="275" ht="13" customHeight="1" s="90">
      <c r="C275" s="217" t="inlineStr">
        <is>
          <t xml:space="preserve">    ax.set_xlim(years_pe[0]-0.5, years_pe[-1]+1)</t>
        </is>
      </c>
    </row>
    <row r="276" ht="13" customHeight="1" s="90">
      <c r="C276" s="217" t="inlineStr">
        <is>
          <t xml:space="preserve">    fig.text(0.99, 0.01, "Source: Bloomberg, FactSet. Workbook: 2_PE_History", color=MID, fontsize=6, ha="right")</t>
        </is>
      </c>
    </row>
    <row r="277" ht="13" customHeight="1" s="90">
      <c r="C277" s="217" t="inlineStr">
        <is>
          <t xml:space="preserve">    save(fig, "m02_pe_discount_history.png")</t>
        </is>
      </c>
    </row>
    <row r="278" ht="13" customHeight="1" s="90">
      <c r="C278" s="217" t="inlineStr"/>
    </row>
    <row r="279" ht="13" customHeight="1" s="90">
      <c r="C279" s="217" t="inlineStr">
        <is>
          <t xml:space="preserve">    # 3. Sector composition horizontal bar</t>
        </is>
      </c>
    </row>
    <row r="280" ht="13" customHeight="1" s="90">
      <c r="C280" s="217" t="inlineStr">
        <is>
          <t xml:space="preserve">    ws_sc = wb["3_Sector_Composition"]</t>
        </is>
      </c>
    </row>
    <row r="281" ht="13" customHeight="1" s="90">
      <c r="C281" s="217" t="inlineStr">
        <is>
          <t xml:space="preserve">    sectors, us_w, eu_w = [], [], []</t>
        </is>
      </c>
    </row>
    <row r="282" ht="13" customHeight="1" s="90">
      <c r="C282" s="217" t="inlineStr">
        <is>
          <t xml:space="preserve">    for row in ws_sc.iter_rows(min_row=4, max_row=15, values_only=True):</t>
        </is>
      </c>
    </row>
    <row r="283" ht="13" customHeight="1" s="90">
      <c r="C283" s="217" t="inlineStr">
        <is>
          <t xml:space="preserve">        if row[0] and row[0] != "Sector":</t>
        </is>
      </c>
    </row>
    <row r="284" ht="13" customHeight="1" s="90">
      <c r="C284" s="217" t="inlineStr">
        <is>
          <t xml:space="preserve">            sectors.append(str(row[0]))</t>
        </is>
      </c>
    </row>
    <row r="285" ht="13" customHeight="1" s="90">
      <c r="C285" s="217" t="inlineStr">
        <is>
          <t xml:space="preserve">            us_w.append(float(row[1]) if row[1] else 0)</t>
        </is>
      </c>
    </row>
    <row r="286" ht="13" customHeight="1" s="90">
      <c r="C286" s="217" t="inlineStr">
        <is>
          <t xml:space="preserve">            eu_w.append(float(row[2]) if row[2] else 0)</t>
        </is>
      </c>
    </row>
    <row r="287" ht="13" customHeight="1" s="90">
      <c r="C287" s="217" t="inlineStr">
        <is>
          <t xml:space="preserve">    fig, ax = base_fig(10, 6)</t>
        </is>
      </c>
    </row>
    <row r="288" ht="13" customHeight="1" s="90">
      <c r="C288" s="217" t="inlineStr">
        <is>
          <t xml:space="preserve">    y = np.arange(len(sectors))</t>
        </is>
      </c>
    </row>
    <row r="289" ht="13" customHeight="1" s="90">
      <c r="C289" s="217" t="inlineStr">
        <is>
          <t xml:space="preserve">    h = 0.35</t>
        </is>
      </c>
    </row>
    <row r="290" ht="13" customHeight="1" s="90">
      <c r="C290" s="217" t="inlineStr">
        <is>
          <t xml:space="preserve">    ax.barh(y + h/2, us_w, h, color=ACCENT, alpha=0.85, label="S&amp;P 500 Weight (%)")</t>
        </is>
      </c>
    </row>
    <row r="291" ht="13" customHeight="1" s="90">
      <c r="C291" s="217" t="inlineStr">
        <is>
          <t xml:space="preserve">    ax.barh(y - h/2, eu_w, h, color=BLUE,  alpha=0.85, label="MSCI Europe Weight (%)")</t>
        </is>
      </c>
    </row>
    <row r="292" ht="13" customHeight="1" s="90">
      <c r="C292" s="217" t="inlineStr">
        <is>
          <t xml:space="preserve">    ax.set_yticks(y); ax.set_yticklabels(sectors, color=MID, fontsize=8)</t>
        </is>
      </c>
    </row>
    <row r="293" ht="13" customHeight="1" s="90">
      <c r="C293" s="217" t="inlineStr">
        <is>
          <t xml:space="preserve">    ax.set_xlabel("Index Weight (%)", fontsize=8)</t>
        </is>
      </c>
    </row>
    <row r="294" ht="13" customHeight="1" s="90">
      <c r="C294" s="217" t="inlineStr">
        <is>
          <t xml:space="preserve">    ax.set_title("Index Sector Composition: S&amp;P 500 vs MSCI Europe\n~60% of P/E discount explained by sector weights", color=WHITE, fontsize=9.5, pad=10)</t>
        </is>
      </c>
    </row>
    <row r="295" ht="13" customHeight="1" s="90">
      <c r="C295" s="217" t="inlineStr">
        <is>
          <t xml:space="preserve">    ax.legend(fontsize=8, facecolor=BLUE, edgecolor=NAVY, labelcolor=WHITE)</t>
        </is>
      </c>
    </row>
    <row r="296" ht="13" customHeight="1" s="90">
      <c r="C296" s="217" t="inlineStr">
        <is>
          <t xml:space="preserve">    fig.text(0.99, 0.01, "Source: MSCI Q1 2026. Workbook: 3_Sector_Composition", color=MID, fontsize=6, ha="right")</t>
        </is>
      </c>
    </row>
    <row r="297" ht="13" customHeight="1" s="90">
      <c r="C297" s="217" t="inlineStr">
        <is>
          <t xml:space="preserve">    save(fig, "m02_sector_composition.png")</t>
        </is>
      </c>
    </row>
    <row r="298" ht="13" customHeight="1" s="90">
      <c r="C298" s="217" t="inlineStr"/>
    </row>
    <row r="299" ht="13" customHeight="1" s="90">
      <c r="C299" s="217" t="inlineStr">
        <is>
          <t xml:space="preserve">    # 4. Capital flows comparison</t>
        </is>
      </c>
    </row>
    <row r="300" ht="13" customHeight="1" s="90">
      <c r="C300" s="217" t="inlineStr">
        <is>
          <t xml:space="preserve">    ws_cf = wb["6_Capital_Flows"]</t>
        </is>
      </c>
    </row>
    <row r="301" ht="13" customHeight="1" s="90">
      <c r="C301" s="217" t="inlineStr">
        <is>
          <t xml:space="preserve">    cf_years, us_flows, eu_flows = [], [], []</t>
        </is>
      </c>
    </row>
    <row r="302" ht="13" customHeight="1" s="90">
      <c r="C302" s="217" t="inlineStr">
        <is>
          <t xml:space="preserve">    for row in ws_cf.iter_rows(min_row=4, max_row=11, values_only=True):</t>
        </is>
      </c>
    </row>
    <row r="303" ht="13" customHeight="1" s="90">
      <c r="C303" s="217" t="inlineStr">
        <is>
          <t xml:space="preserve">        if row[0] and isinstance(row[0], (int, float)):</t>
        </is>
      </c>
    </row>
    <row r="304" ht="13" customHeight="1" s="90">
      <c r="C304" s="217" t="inlineStr">
        <is>
          <t xml:space="preserve">            cf_years.append(int(row[0]))</t>
        </is>
      </c>
    </row>
    <row r="305" ht="13" customHeight="1" s="90">
      <c r="C305" s="217" t="inlineStr">
        <is>
          <t xml:space="preserve">            us_flows.append(float(row[1]) if row[1] else 0)</t>
        </is>
      </c>
    </row>
    <row r="306" ht="13" customHeight="1" s="90">
      <c r="C306" s="217" t="inlineStr">
        <is>
          <t xml:space="preserve">            eu_flows.append(float(row[2]) if row[2] else 0)</t>
        </is>
      </c>
    </row>
    <row r="307" ht="13" customHeight="1" s="90">
      <c r="C307" s="217" t="inlineStr">
        <is>
          <t xml:space="preserve">    fig, ax = base_fig(10, 5)</t>
        </is>
      </c>
    </row>
    <row r="308" ht="13" customHeight="1" s="90">
      <c r="C308" s="217" t="inlineStr">
        <is>
          <t xml:space="preserve">    x = np.arange(len(cf_years))</t>
        </is>
      </c>
    </row>
    <row r="309" ht="13" customHeight="1" s="90">
      <c r="C309" s="217" t="inlineStr">
        <is>
          <t xml:space="preserve">    w = 0.38</t>
        </is>
      </c>
    </row>
    <row r="310" ht="13" customHeight="1" s="90">
      <c r="C310" s="217" t="inlineStr">
        <is>
          <t xml:space="preserve">    ax.bar(x - w/2, us_flows, w, color=ACCENT, alpha=0.85, label="US Equity ETF Net Flows ($bn)")</t>
        </is>
      </c>
    </row>
    <row r="311" ht="13" customHeight="1" s="90">
      <c r="C311" s="217" t="inlineStr">
        <is>
          <t xml:space="preserve">    ax.bar(x + w/2, eu_flows, w, color=BLUE,  alpha=0.85, label="European Equity ETF Net Flows ($bn)")</t>
        </is>
      </c>
    </row>
    <row r="312" ht="13" customHeight="1" s="90">
      <c r="C312" s="217" t="inlineStr">
        <is>
          <t xml:space="preserve">    ax.axhline(0, color=MID, linewidth=0.8)</t>
        </is>
      </c>
    </row>
    <row r="313" ht="13" customHeight="1" s="90">
      <c r="C313" s="217" t="inlineStr">
        <is>
          <t xml:space="preserve">    ax.set_xticks(x); ax.set_xticklabels(cf_years, color=MID, fontsize=8)</t>
        </is>
      </c>
    </row>
    <row r="314" ht="13" customHeight="1" s="90">
      <c r="C314" s="217" t="inlineStr">
        <is>
          <t xml:space="preserve">    ax.set_ylabel("Net ETF Flows ($bn)", fontsize=8)</t>
        </is>
      </c>
    </row>
    <row r="315" ht="13" customHeight="1" s="90">
      <c r="C315" s="217" t="inlineStr">
        <is>
          <t xml:space="preserve">    ax.set_title("ETF Capital Flows: US vs European Equities (2019-2025)\nRecord divergence supports contrarian re-rating thesis", color=WHITE, fontsize=9.5, pad=10)</t>
        </is>
      </c>
    </row>
    <row r="316" ht="13" customHeight="1" s="90">
      <c r="C316" s="217" t="inlineStr">
        <is>
          <t xml:space="preserve">    ax.legend(fontsize=8, facecolor=BLUE, edgecolor=NAVY, labelcolor=WHITE)</t>
        </is>
      </c>
    </row>
    <row r="317" ht="13" customHeight="1" s="90">
      <c r="C317" s="217" t="inlineStr">
        <is>
          <t xml:space="preserve">    fig.text(0.99, 0.01, "Source: BofA Global Research, EPFR Global. Workbook: 6_Capital_Flows", color=MID, fontsize=6, ha="right")</t>
        </is>
      </c>
    </row>
    <row r="318" ht="13" customHeight="1" s="90">
      <c r="C318" s="217" t="inlineStr">
        <is>
          <t xml:space="preserve">    save(fig, "m02_capital_flows.png")</t>
        </is>
      </c>
    </row>
    <row r="319" ht="13" customHeight="1" s="90">
      <c r="C319" s="217" t="inlineStr"/>
    </row>
    <row r="320" ht="13" customHeight="1" s="90">
      <c r="C320" s="217" t="inlineStr">
        <is>
          <t xml:space="preserve">    # 5. Cumulative capital flow divergence</t>
        </is>
      </c>
    </row>
    <row r="321" ht="13" customHeight="1" s="90">
      <c r="C321" s="217" t="inlineStr">
        <is>
          <t xml:space="preserve">    if cf_years:</t>
        </is>
      </c>
    </row>
    <row r="322" ht="13" customHeight="1" s="90">
      <c r="C322" s="217" t="inlineStr">
        <is>
          <t xml:space="preserve">        us_cum = np.cumsum(us_flows)</t>
        </is>
      </c>
    </row>
    <row r="323" ht="13" customHeight="1" s="90">
      <c r="C323" s="217" t="inlineStr">
        <is>
          <t xml:space="preserve">        eu_cum = np.cumsum(eu_flows)</t>
        </is>
      </c>
    </row>
    <row r="324" ht="13" customHeight="1" s="90">
      <c r="C324" s="217" t="inlineStr">
        <is>
          <t xml:space="preserve">        fig, ax = base_fig(10, 5)</t>
        </is>
      </c>
    </row>
    <row r="325" ht="13" customHeight="1" s="90">
      <c r="C325" s="217" t="inlineStr">
        <is>
          <t xml:space="preserve">        ax.fill_between(cf_years, us_cum, eu_cum, alpha=0.15, color=RED, label="Cumulative divergence")</t>
        </is>
      </c>
    </row>
    <row r="326" ht="13" customHeight="1" s="90">
      <c r="C326" s="217" t="inlineStr">
        <is>
          <t xml:space="preserve">        ax.plot(cf_years, us_cum, color=ACCENT, linewidth=2.5, marker="o", markersize=5, label="Cumulative US Flows ($bn)")</t>
        </is>
      </c>
    </row>
    <row r="327" ht="13" customHeight="1" s="90">
      <c r="C327" s="217" t="inlineStr">
        <is>
          <t xml:space="preserve">        ax.plot(cf_years, eu_cum, color=BLUE,  linewidth=2.5, marker="s", markersize=5, label="Cumulative EU Flows ($bn)")</t>
        </is>
      </c>
    </row>
    <row r="328" ht="13" customHeight="1" s="90">
      <c r="C328" s="217" t="inlineStr">
        <is>
          <t xml:space="preserve">        ax.set_ylabel("Cumulative Net Flows ($bn)", fontsize=8)</t>
        </is>
      </c>
    </row>
    <row r="329" ht="13" customHeight="1" s="90">
      <c r="C329" s="217" t="inlineStr">
        <is>
          <t xml:space="preserve">        ax.set_title("Cumulative Flow Divergence: US vs Europe (2019-2025)\nFlow reversal would be powerful mechanical tailwind for Europe", color=WHITE, fontsize=9.5, pad=10)</t>
        </is>
      </c>
    </row>
    <row r="330" ht="13" customHeight="1" s="90">
      <c r="C330" s="217" t="inlineStr">
        <is>
          <t xml:space="preserve">        ax.legend(fontsize=8, facecolor=BLUE, edgecolor=NAVY, labelcolor=WHITE)</t>
        </is>
      </c>
    </row>
    <row r="331" ht="13" customHeight="1" s="90">
      <c r="C331" s="217" t="inlineStr">
        <is>
          <t xml:space="preserve">        fig.text(0.99, 0.01, "Source: BofA Global Research, EPFR Global. Workbook: 6_Capital_Flows", color=MID, fontsize=6, ha="right")</t>
        </is>
      </c>
    </row>
    <row r="332" ht="13" customHeight="1" s="90">
      <c r="C332" s="217" t="inlineStr">
        <is>
          <t xml:space="preserve">        save(fig, "m02_cumulative_flows.png")</t>
        </is>
      </c>
    </row>
    <row r="333" ht="13" customHeight="1" s="90">
      <c r="C333" s="217" t="inlineStr"/>
    </row>
    <row r="334" ht="13" customHeight="1" s="90">
      <c r="C334" s="217" t="inlineStr">
        <is>
          <t xml:space="preserve">    # 6. Scenario returns</t>
        </is>
      </c>
    </row>
    <row r="335" ht="13" customHeight="1" s="90">
      <c r="C335" s="217" t="inlineStr">
        <is>
          <t xml:space="preserve">    sc_names  = ["No re-rating\n(discount holds)", "Minimal revert\n(fiscal only)", "Base\n(half revert)", "Full revert\n(20yr avg)", "Premium close\n(US underperf)"]</t>
        </is>
      </c>
    </row>
    <row r="336" ht="13" customHeight="1" s="90">
      <c r="C336" s="217" t="inlineStr">
        <is>
          <t xml:space="preserve">    sc_ret    = [5.0, 13.1, 21.2, 37.3, 53.5]</t>
        </is>
      </c>
    </row>
    <row r="337" ht="13" customHeight="1" s="90">
      <c r="C337" s="217" t="inlineStr">
        <is>
          <t xml:space="preserve">    fig, ax = base_fig(10, 4.5)</t>
        </is>
      </c>
    </row>
    <row r="338" ht="13" customHeight="1" s="90">
      <c r="C338" s="217" t="inlineStr">
        <is>
          <t xml:space="preserve">    colors_s  = [RED if r &lt; 10 else GOLD if r &lt; 25 else GREEN for r in sc_ret]</t>
        </is>
      </c>
    </row>
    <row r="339" ht="13" customHeight="1" s="90">
      <c r="C339" s="217" t="inlineStr">
        <is>
          <t xml:space="preserve">    bars = ax.bar(sc_names, sc_ret, color=colors_s, alpha=0.9, width=0.5)</t>
        </is>
      </c>
    </row>
    <row r="340" ht="13" customHeight="1" s="90">
      <c r="C340" s="217" t="inlineStr">
        <is>
          <t xml:space="preserve">    ax.set_ylabel("Total Implied Return (%)", fontsize=8)</t>
        </is>
      </c>
    </row>
    <row r="341" ht="13" customHeight="1" s="90">
      <c r="C341" s="217" t="inlineStr">
        <is>
          <t xml:space="preserve">    ax.set_title("European Equities: P/E Re-rating Scenario Returns\nEntry P/E 13x | EPS Growth +5% | Horizon 12-18m", color=WHITE, fontsize=9.5, pad=10)</t>
        </is>
      </c>
    </row>
    <row r="342" ht="13" customHeight="1" s="90">
      <c r="C342" s="217" t="inlineStr">
        <is>
          <t xml:space="preserve">    for bar, r in zip(bars, sc_ret):</t>
        </is>
      </c>
    </row>
    <row r="343" ht="13" customHeight="1" s="90">
      <c r="C343" s="217" t="inlineStr">
        <is>
          <t xml:space="preserve">        ax.text(bar.get_x() + bar.get_width()/2, r + 0.8, f"{r:.1f}%", ha="center", color=WHITE, fontsize=8, fontweight="bold")</t>
        </is>
      </c>
    </row>
    <row r="344" ht="13" customHeight="1" s="90">
      <c r="C344" s="217" t="inlineStr">
        <is>
          <t xml:space="preserve">    ax.tick_params(axis="x", colors=MID, labelsize=8)</t>
        </is>
      </c>
    </row>
    <row r="345" ht="13" customHeight="1" s="90">
      <c r="C345" s="217" t="inlineStr">
        <is>
          <t xml:space="preserve">    fig.text(0.99, 0.01, "Source: Author calculations, FactSet. Workbook: 5_Scenarios", color=MID, fontsize=6, ha="right")</t>
        </is>
      </c>
    </row>
    <row r="346" ht="13" customHeight="1" s="90">
      <c r="C346" s="217" t="inlineStr">
        <is>
          <t xml:space="preserve">    save(fig, "m02_scenarios.png")</t>
        </is>
      </c>
    </row>
    <row r="347" ht="13" customHeight="1" s="90">
      <c r="C347" s="217" t="inlineStr"/>
    </row>
    <row r="348" ht="13" customHeight="1" s="90">
      <c r="C348" s="217" t="inlineStr"/>
    </row>
    <row r="349" ht="13" customHeight="1" s="90">
      <c r="C349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50" ht="13" customHeight="1" s="90">
      <c r="C350" s="217" t="inlineStr">
        <is>
          <t># SHORT MEMO 03 — Copper</t>
        </is>
      </c>
    </row>
    <row r="351" ht="13" customHeight="1" s="90">
      <c r="C351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52" ht="13" customHeight="1" s="90">
      <c r="C352" s="217" t="inlineStr">
        <is>
          <t>def memo03_charts():</t>
        </is>
      </c>
    </row>
    <row r="353" ht="13" customHeight="1" s="90">
      <c r="C353" s="217" t="inlineStr">
        <is>
          <t xml:space="preserve">    wb = openpyxl.load_workbook("mnt/outputs/memo-03-copper-data.xlsx", data_only=True)</t>
        </is>
      </c>
    </row>
    <row r="354" ht="13" customHeight="1" s="90">
      <c r="C354" s="217" t="inlineStr"/>
    </row>
    <row r="355" ht="13" customHeight="1" s="90">
      <c r="C355" s="217" t="inlineStr">
        <is>
          <t xml:space="preserve">    # Supply/Demand data</t>
        </is>
      </c>
    </row>
    <row r="356" ht="13" customHeight="1" s="90">
      <c r="C356" s="217" t="inlineStr">
        <is>
          <t xml:space="preserve">    ws_sd = wb["Supply_Demand"]</t>
        </is>
      </c>
    </row>
    <row r="357" ht="13" customHeight="1" s="90">
      <c r="C357" s="217" t="inlineStr">
        <is>
          <t xml:space="preserve">    rows = list(ws_sd.iter_rows(min_row=1, max_row=22, values_only=True))</t>
        </is>
      </c>
    </row>
    <row r="358" ht="13" customHeight="1" s="90">
      <c r="C358" s="217" t="inlineStr">
        <is>
          <t xml:space="preserve">    # Row structure: row1=header, row2=spacer, row3=actuals/forecast label</t>
        </is>
      </c>
    </row>
    <row r="359" ht="13" customHeight="1" s="90">
      <c r="C359" s="217" t="inlineStr">
        <is>
          <t xml:space="preserve">    # row4=DEMAND, row5=trad, row6=ET, row7=AI, row8=TOTAL DEMAND</t>
        </is>
      </c>
    </row>
    <row r="360" ht="13" customHeight="1" s="90">
      <c r="C360" s="217" t="inlineStr">
        <is>
          <t xml:space="preserve">    # row9=SUPPLY, row10=existing, row11=committed, row12=probable, row13=TOTAL SUPPLY best case, row14=SURPLUS/DEFICIT</t>
        </is>
      </c>
    </row>
    <row r="361" ht="13" customHeight="1" s="90">
      <c r="C361" s="217" t="inlineStr">
        <is>
          <t xml:space="preserve">    # Year headers are in row1 starting col2</t>
        </is>
      </c>
    </row>
    <row r="362" ht="13" customHeight="1" s="90">
      <c r="C362" s="217" t="inlineStr">
        <is>
          <t xml:space="preserve">    sd_years = []</t>
        </is>
      </c>
    </row>
    <row r="363" ht="13" customHeight="1" s="90">
      <c r="C363" s="217" t="inlineStr">
        <is>
          <t xml:space="preserve">    for cell in ws_sd[2]:  # row 2 (0-indexed row 1) — year labels</t>
        </is>
      </c>
    </row>
    <row r="364" ht="13" customHeight="1" s="90">
      <c r="C364" s="217" t="inlineStr">
        <is>
          <t xml:space="preserve">        if cell.value and isinstance(cell.value, (int, float)):</t>
        </is>
      </c>
    </row>
    <row r="365" ht="13" customHeight="1" s="90">
      <c r="C365" s="217" t="inlineStr">
        <is>
          <t xml:space="preserve">            sd_years.append(int(cell.value))</t>
        </is>
      </c>
    </row>
    <row r="366" ht="13" customHeight="1" s="90">
      <c r="C366" s="217" t="inlineStr"/>
    </row>
    <row r="367" ht="13" customHeight="1" s="90">
      <c r="C367" s="217" t="inlineStr">
        <is>
          <t xml:space="preserve">    def get_row_vals(ws, rn):</t>
        </is>
      </c>
    </row>
    <row r="368" ht="13" customHeight="1" s="90">
      <c r="C368" s="217" t="inlineStr">
        <is>
          <t xml:space="preserve">        row = list(ws.iter_rows(min_row=rn, max_row=rn, values_only=True))[0]</t>
        </is>
      </c>
    </row>
    <row r="369" ht="13" customHeight="1" s="90">
      <c r="C369" s="217" t="inlineStr">
        <is>
          <t xml:space="preserve">        return [float(v) if v and isinstance(v, (int,float)) else None for v in row[1:]]</t>
        </is>
      </c>
    </row>
    <row r="370" ht="13" customHeight="1" s="90">
      <c r="C370" s="217" t="inlineStr"/>
    </row>
    <row r="371" ht="13" customHeight="1" s="90">
      <c r="C371" s="217" t="inlineStr">
        <is>
          <t xml:space="preserve">    # Get all series</t>
        </is>
      </c>
    </row>
    <row r="372" ht="13" customHeight="1" s="90">
      <c r="C372" s="217" t="inlineStr">
        <is>
          <t xml:space="preserve">    trad_d  = [v for v in get_row_vals(ws_sd, 5)  if v is not None][:len(sd_years)]</t>
        </is>
      </c>
    </row>
    <row r="373" ht="13" customHeight="1" s="90">
      <c r="C373" s="217" t="inlineStr">
        <is>
          <t xml:space="preserve">    et_d    = [v for v in get_row_vals(ws_sd, 6)  if v is not None][:len(sd_years)]</t>
        </is>
      </c>
    </row>
    <row r="374" ht="13" customHeight="1" s="90">
      <c r="C374" s="217" t="inlineStr">
        <is>
          <t xml:space="preserve">    ai_d    = [v for v in get_row_vals(ws_sd, 7)  if v is not None][:len(sd_years)]</t>
        </is>
      </c>
    </row>
    <row r="375" ht="13" customHeight="1" s="90">
      <c r="C375" s="217" t="inlineStr">
        <is>
          <t xml:space="preserve">    exist_s = [v for v in get_row_vals(ws_sd, 11) if v is not None][:len(sd_years)]</t>
        </is>
      </c>
    </row>
    <row r="376" ht="13" customHeight="1" s="90">
      <c r="C376" s="217" t="inlineStr">
        <is>
          <t xml:space="preserve">    commit_s= [v for v in get_row_vals(ws_sd, 12) if v is not None][:len(sd_years)]</t>
        </is>
      </c>
    </row>
    <row r="377" ht="13" customHeight="1" s="90">
      <c r="C377" s="217" t="inlineStr">
        <is>
          <t xml:space="preserve">    prob_s  = [v for v in get_row_vals(ws_sd, 13) if v is not None][:len(sd_years)]</t>
        </is>
      </c>
    </row>
    <row r="378" ht="13" customHeight="1" s="90">
      <c r="C378" s="217" t="inlineStr"/>
    </row>
    <row r="379" ht="13" customHeight="1" s="90">
      <c r="C379" s="217" t="inlineStr">
        <is>
          <t xml:space="preserve">    n = min(len(sd_years), len(trad_d), len(et_d), len(ai_d))</t>
        </is>
      </c>
    </row>
    <row r="380" ht="13" customHeight="1" s="90">
      <c r="C380" s="217" t="inlineStr">
        <is>
          <t xml:space="preserve">    sd_years = sd_years[:n]</t>
        </is>
      </c>
    </row>
    <row r="381" ht="13" customHeight="1" s="90">
      <c r="C381" s="217" t="inlineStr">
        <is>
          <t xml:space="preserve">    trad_d, et_d, ai_d = trad_d[:n], et_d[:n], ai_d[:n]</t>
        </is>
      </c>
    </row>
    <row r="382" ht="13" customHeight="1" s="90">
      <c r="C382" s="217" t="inlineStr">
        <is>
          <t xml:space="preserve">    total_d = [t+e+a for t,e,a in zip(trad_d,et_d,ai_d)]</t>
        </is>
      </c>
    </row>
    <row r="383" ht="13" customHeight="1" s="90">
      <c r="C383" s="217" t="inlineStr">
        <is>
          <t xml:space="preserve">    exist_s, commit_s, prob_s = exist_s[:n], commit_s[:n], prob_s[:n]</t>
        </is>
      </c>
    </row>
    <row r="384" ht="13" customHeight="1" s="90">
      <c r="C384" s="217" t="inlineStr">
        <is>
          <t xml:space="preserve">    total_s_best = [e+c+p for e,c,p in zip(exist_s,commit_s,prob_s)]</t>
        </is>
      </c>
    </row>
    <row r="385" ht="13" customHeight="1" s="90">
      <c r="C385" s="217" t="inlineStr">
        <is>
          <t xml:space="preserve">    deficit_base = [ts - td for ts,td in zip([e+c for e,c in zip(exist_s,commit_s)], total_d)]</t>
        </is>
      </c>
    </row>
    <row r="386" ht="13" customHeight="1" s="90">
      <c r="C386" s="217" t="inlineStr"/>
    </row>
    <row r="387" ht="13" customHeight="1" s="90">
      <c r="C387" s="217" t="inlineStr">
        <is>
          <t xml:space="preserve">    # 1. Supply-demand balance</t>
        </is>
      </c>
    </row>
    <row r="388" ht="13" customHeight="1" s="90">
      <c r="C388" s="217" t="inlineStr">
        <is>
          <t xml:space="preserve">    fig, ax = base_fig(12, 5.5)</t>
        </is>
      </c>
    </row>
    <row r="389" ht="13" customHeight="1" s="90">
      <c r="C389" s="217" t="inlineStr">
        <is>
          <t xml:space="preserve">    x = np.arange(len(sd_years))</t>
        </is>
      </c>
    </row>
    <row r="390" ht="13" customHeight="1" s="90">
      <c r="C390" s="217" t="inlineStr">
        <is>
          <t xml:space="preserve">    ax.stackplot(x, trad_d, et_d, ai_d, labels=["Traditional Demand","Energy Transition","AI/Data Centres"],</t>
        </is>
      </c>
    </row>
    <row r="391" ht="13" customHeight="1" s="90">
      <c r="C391" s="217" t="inlineStr">
        <is>
          <t xml:space="preserve">                 colors=[BLUE, GREEN, GOLD], alpha=0.8)</t>
        </is>
      </c>
    </row>
    <row r="392" ht="13" customHeight="1" s="90">
      <c r="C392" s="217" t="inlineStr">
        <is>
          <t xml:space="preserve">    ax.plot(x, total_s_best, color=RED, linewidth=2, linestyle="--", label="Best-case Supply (all probable)")</t>
        </is>
      </c>
    </row>
    <row r="393" ht="13" customHeight="1" s="90">
      <c r="C393" s="217" t="inlineStr">
        <is>
          <t xml:space="preserve">    ax.plot(x, [e+c for e,c in zip(exist_s,commit_s)], color=WHITE, linewidth=1.5, linestyle=":", label="Base-case Supply (committed only)")</t>
        </is>
      </c>
    </row>
    <row r="394" ht="13" customHeight="1" s="90">
      <c r="C394" s="217" t="inlineStr">
        <is>
          <t xml:space="preserve">    # Shade deficit region from 2025</t>
        </is>
      </c>
    </row>
    <row r="395" ht="13" customHeight="1" s="90">
      <c r="C395" s="217" t="inlineStr">
        <is>
          <t xml:space="preserve">    idx_2025 = sd_years.index(2025) if 2025 in sd_years else len(sd_years)//2</t>
        </is>
      </c>
    </row>
    <row r="396" ht="13" customHeight="1" s="90">
      <c r="C396" s="217" t="inlineStr">
        <is>
          <t xml:space="preserve">    ax.fill_between(x[idx_2025:], total_d[idx_2025:],</t>
        </is>
      </c>
    </row>
    <row r="397" ht="13" customHeight="1" s="90">
      <c r="C397" s="217" t="inlineStr">
        <is>
          <t xml:space="preserve">                    [e+c for e,c in zip(exist_s,commit_s)][idx_2025:],</t>
        </is>
      </c>
    </row>
    <row r="398" ht="13" customHeight="1" s="90">
      <c r="C398" s="217" t="inlineStr">
        <is>
          <t xml:space="preserve">                    alpha=0.25, color=RED, label="Base-case deficit")</t>
        </is>
      </c>
    </row>
    <row r="399" ht="13" customHeight="1" s="90">
      <c r="C399" s="217" t="inlineStr">
        <is>
          <t xml:space="preserve">    ax.set_xticks(x[::2]); ax.set_xticklabels(sd_years[::2], color=MID, fontsize=7.5)</t>
        </is>
      </c>
    </row>
    <row r="400" ht="13" customHeight="1" s="90">
      <c r="C400" s="217" t="inlineStr">
        <is>
          <t xml:space="preserve">    ax.set_ylabel("Copper (Mt)", fontsize=8)</t>
        </is>
      </c>
    </row>
    <row r="401" ht="13" customHeight="1" s="90">
      <c r="C401" s="217" t="inlineStr">
        <is>
          <t xml:space="preserve">    ax.set_title("Copper Global Supply-Demand Balance (2015-2032)\nICSG/Wood Mackenzie base case — committed supply vs growing demand", color=WHITE, fontsize=9.5, pad=10)</t>
        </is>
      </c>
    </row>
    <row r="402" ht="13" customHeight="1" s="90">
      <c r="C402" s="217" t="inlineStr">
        <is>
          <t xml:space="preserve">    ax.legend(fontsize=7.5, facecolor=BLUE, edgecolor=NAVY, labelcolor=WHITE, loc="upper left")</t>
        </is>
      </c>
    </row>
    <row r="403" ht="13" customHeight="1" s="90">
      <c r="C403" s="217" t="inlineStr">
        <is>
          <t xml:space="preserve">    fig.text(0.99, 0.01, "Source: ICSG 2025, Wood Mackenzie, IEA. Workbook: Supply_Demand", color=MID, fontsize=6, ha="right")</t>
        </is>
      </c>
    </row>
    <row r="404" ht="13" customHeight="1" s="90">
      <c r="C404" s="217" t="inlineStr">
        <is>
          <t xml:space="preserve">    save(fig, "m03_supply_demand.png")</t>
        </is>
      </c>
    </row>
    <row r="405" ht="13" customHeight="1" s="90">
      <c r="C405" s="217" t="inlineStr"/>
    </row>
    <row r="406" ht="13" customHeight="1" s="90">
      <c r="C406" s="217" t="inlineStr">
        <is>
          <t xml:space="preserve">    # 2. Annual deficit/surplus</t>
        </is>
      </c>
    </row>
    <row r="407" ht="13" customHeight="1" s="90">
      <c r="C407" s="217" t="inlineStr">
        <is>
          <t xml:space="preserve">    fig, ax = base_fig(11, 5)</t>
        </is>
      </c>
    </row>
    <row r="408" ht="13" customHeight="1" s="90">
      <c r="C408" s="217" t="inlineStr">
        <is>
          <t xml:space="preserve">    deficit_cols = [RED if d &lt; 0 else GREEN for d in deficit_base]</t>
        </is>
      </c>
    </row>
    <row r="409" ht="13" customHeight="1" s="90">
      <c r="C409" s="217" t="inlineStr">
        <is>
          <t xml:space="preserve">    ax.bar(sd_years, deficit_base, color=deficit_cols, alpha=0.85, width=0.7)</t>
        </is>
      </c>
    </row>
    <row r="410" ht="13" customHeight="1" s="90">
      <c r="C410" s="217" t="inlineStr">
        <is>
          <t xml:space="preserve">    ax.axhline(0, color=MID, linewidth=1)</t>
        </is>
      </c>
    </row>
    <row r="411" ht="13" customHeight="1" s="90">
      <c r="C411" s="217" t="inlineStr">
        <is>
          <t xml:space="preserve">    ax.set_ylabel("Annual Surplus / (Deficit) — Mt", fontsize=8)</t>
        </is>
      </c>
    </row>
    <row r="412" ht="13" customHeight="1" s="90">
      <c r="C412" s="217" t="inlineStr">
        <is>
          <t xml:space="preserve">    ax.set_title("Copper Annual Surplus/(Deficit) — Base Case (committed supply only)\nDeficit opens from 2025 and widens materially through 2032", color=WHITE, fontsize=9.5, pad=10)</t>
        </is>
      </c>
    </row>
    <row r="413" ht="13" customHeight="1" s="90">
      <c r="C413" s="217" t="inlineStr">
        <is>
          <t xml:space="preserve">    ax.tick_params(axis="x", colors=MID, labelsize=8)</t>
        </is>
      </c>
    </row>
    <row r="414" ht="13" customHeight="1" s="90">
      <c r="C414" s="217" t="inlineStr">
        <is>
          <t xml:space="preserve">    # Annotate cumulative from 2025</t>
        </is>
      </c>
    </row>
    <row r="415" ht="13" customHeight="1" s="90">
      <c r="C415" s="217" t="inlineStr">
        <is>
          <t xml:space="preserve">    idx_2025b = sd_years.index(2025) if 2025 in sd_years else len(sd_years) // 2</t>
        </is>
      </c>
    </row>
    <row r="416" ht="13" customHeight="1" s="90">
      <c r="C416" s="217" t="inlineStr">
        <is>
          <t xml:space="preserve">    cumdef = sum(d for d in deficit_base[idx_2025b:] if d &lt; 0)</t>
        </is>
      </c>
    </row>
    <row r="417" ht="13" customHeight="1" s="90">
      <c r="C417" s="217" t="inlineStr">
        <is>
          <t xml:space="preserve">    ax.text(0.98, 0.05, f"Cumulative deficit 2025-32:\n{cumdef:.1f} Mt (base case)", transform=ax.transAxes,</t>
        </is>
      </c>
    </row>
    <row r="418" ht="13" customHeight="1" s="90">
      <c r="C418" s="217" t="inlineStr">
        <is>
          <t xml:space="preserve">            ha="right", va="bottom", color=RED, fontsize=8, bbox=dict(boxstyle="round,pad=0.3", facecolor=BLUE, edgecolor=BLUE))</t>
        </is>
      </c>
    </row>
    <row r="419" ht="13" customHeight="1" s="90">
      <c r="C419" s="217" t="inlineStr">
        <is>
          <t xml:space="preserve">    fig.text(0.99, 0.01, "Source: ICSG 2025, Wood Mackenzie. Workbook: Supply_Demand", color=MID, fontsize=6, ha="right")</t>
        </is>
      </c>
    </row>
    <row r="420" ht="13" customHeight="1" s="90">
      <c r="C420" s="217" t="inlineStr">
        <is>
          <t xml:space="preserve">    save(fig, "m03_deficit_annual.png")</t>
        </is>
      </c>
    </row>
    <row r="421" ht="13" customHeight="1" s="90">
      <c r="C421" s="217" t="inlineStr"/>
    </row>
    <row r="422" ht="13" customHeight="1" s="90">
      <c r="C422" s="217" t="inlineStr">
        <is>
          <t xml:space="preserve">    # 3. Demand decomposition stacked</t>
        </is>
      </c>
    </row>
    <row r="423" ht="13" customHeight="1" s="90">
      <c r="C423" s="217" t="inlineStr">
        <is>
          <t xml:space="preserve">    fig, ax = base_fig(11, 5)</t>
        </is>
      </c>
    </row>
    <row r="424" ht="13" customHeight="1" s="90">
      <c r="C424" s="217" t="inlineStr">
        <is>
          <t xml:space="preserve">    x = np.arange(len(sd_years))</t>
        </is>
      </c>
    </row>
    <row r="425" ht="13" customHeight="1" s="90">
      <c r="C425" s="217" t="inlineStr">
        <is>
          <t xml:space="preserve">    ax.stackplot(x, trad_d, et_d, ai_d, labels=["Traditional","Energy Transition","AI / Data Centres"],</t>
        </is>
      </c>
    </row>
    <row r="426" ht="13" customHeight="1" s="90">
      <c r="C426" s="217" t="inlineStr">
        <is>
          <t xml:space="preserve">                 colors=[BLUE, GREEN, GOLD], alpha=0.85)</t>
        </is>
      </c>
    </row>
    <row r="427" ht="13" customHeight="1" s="90">
      <c r="C427" s="217" t="inlineStr">
        <is>
          <t xml:space="preserve">    ax.set_xticks(x[::2]); ax.set_xticklabels(sd_years[::2], color=MID, fontsize=7.5)</t>
        </is>
      </c>
    </row>
    <row r="428" ht="13" customHeight="1" s="90">
      <c r="C428" s="217" t="inlineStr">
        <is>
          <t xml:space="preserve">    idx_2024 = sd_years.index(2024) if 2024 in sd_years else len(sd_years) // 2</t>
        </is>
      </c>
    </row>
    <row r="429" ht="13" customHeight="1" s="90">
      <c r="C429" s="217" t="inlineStr">
        <is>
          <t xml:space="preserve">    ax.axvline(idx_2024, color=MID, linewidth=0.8, linestyle="--", alpha=0.5)</t>
        </is>
      </c>
    </row>
    <row r="430" ht="13" customHeight="1" s="90">
      <c r="C430" s="217" t="inlineStr">
        <is>
          <t xml:space="preserve">    ax.text(idx_2024+0.2, ax.get_ylim()[1]*0.95 if ax.get_ylim()[1] &gt; 0 else 35,</t>
        </is>
      </c>
    </row>
    <row r="431" ht="13" customHeight="1" s="90">
      <c r="C431" s="217" t="inlineStr">
        <is>
          <t xml:space="preserve">            "2024→", color=MID, fontsize=7)</t>
        </is>
      </c>
    </row>
    <row r="432" ht="13" customHeight="1" s="90">
      <c r="C432" s="217" t="inlineStr">
        <is>
          <t xml:space="preserve">    ax.set_ylabel("Copper Demand (Mt)", fontsize=8)</t>
        </is>
      </c>
    </row>
    <row r="433" ht="13" customHeight="1" s="90">
      <c r="C433" s="217" t="inlineStr">
        <is>
          <t xml:space="preserve">    ax.set_title("Copper Demand Decomposition: Three Structural Drivers (2015-2032)\nAI data centres the newest layer; energy transition the primary growth driver", color=WHITE, fontsize=9.5, pad=10)</t>
        </is>
      </c>
    </row>
    <row r="434" ht="13" customHeight="1" s="90">
      <c r="C434" s="217" t="inlineStr">
        <is>
          <t xml:space="preserve">    ax.legend(fontsize=7.5, facecolor=BLUE, edgecolor=NAVY, labelcolor=WHITE)</t>
        </is>
      </c>
    </row>
    <row r="435" ht="13" customHeight="1" s="90">
      <c r="C435" s="217" t="inlineStr">
        <is>
          <t xml:space="preserve">    fig.text(0.99, 0.01, "Source: IEA, ICSG, author model. Workbook: Supply_Demand", color=MID, fontsize=6, ha="right")</t>
        </is>
      </c>
    </row>
    <row r="436" ht="13" customHeight="1" s="90">
      <c r="C436" s="217" t="inlineStr">
        <is>
          <t xml:space="preserve">    save(fig, "m03_demand_decomp.png")</t>
        </is>
      </c>
    </row>
    <row r="437" ht="13" customHeight="1" s="90">
      <c r="C437" s="217" t="inlineStr"/>
    </row>
    <row r="438" ht="13" customHeight="1" s="90">
      <c r="C438" s="217" t="inlineStr">
        <is>
          <t xml:space="preserve">    # 4. Miner EV/EBITDA comps</t>
        </is>
      </c>
    </row>
    <row r="439" ht="13" customHeight="1" s="90">
      <c r="C439" s="217" t="inlineStr">
        <is>
          <t xml:space="preserve">    ws_mc = wb["Miner_Comps"]</t>
        </is>
      </c>
    </row>
    <row r="440" ht="13" customHeight="1" s="90">
      <c r="C440" s="217" t="inlineStr">
        <is>
          <t xml:space="preserve">    m_names, m_curr, m_5yr = [], [], []</t>
        </is>
      </c>
    </row>
    <row r="441" ht="13" customHeight="1" s="90">
      <c r="C441" s="217" t="inlineStr">
        <is>
          <t xml:space="preserve">    for row in ws_mc.iter_rows(min_row=3, max_row=8, values_only=True):</t>
        </is>
      </c>
    </row>
    <row r="442" ht="13" customHeight="1" s="90">
      <c r="C442" s="217" t="inlineStr">
        <is>
          <t xml:space="preserve">        if row[0] and row[0] not in ("Company", "SECTOR MEDIAN"):</t>
        </is>
      </c>
    </row>
    <row r="443" ht="13" customHeight="1" s="90">
      <c r="C443" s="217" t="inlineStr">
        <is>
          <t xml:space="preserve">            m_names.append(str(row[1]))  # ticker</t>
        </is>
      </c>
    </row>
    <row r="444" ht="13" customHeight="1" s="90">
      <c r="C444" s="217" t="inlineStr">
        <is>
          <t xml:space="preserve">            m_curr.append(float(row[2]) if row[2] and isinstance(row[2],(int,float)) else 0)</t>
        </is>
      </c>
    </row>
    <row r="445" ht="13" customHeight="1" s="90">
      <c r="C445" s="217" t="inlineStr">
        <is>
          <t xml:space="preserve">            m_5yr.append(float(row[3]) if row[3] and isinstance(row[3],(int,float)) else 0)</t>
        </is>
      </c>
    </row>
    <row r="446" ht="13" customHeight="1" s="90">
      <c r="C446" s="217" t="inlineStr">
        <is>
          <t xml:space="preserve">    fig, ax = base_fig(9, 5)</t>
        </is>
      </c>
    </row>
    <row r="447" ht="13" customHeight="1" s="90">
      <c r="C447" s="217" t="inlineStr">
        <is>
          <t xml:space="preserve">    x = np.arange(len(m_names))</t>
        </is>
      </c>
    </row>
    <row r="448" ht="13" customHeight="1" s="90">
      <c r="C448" s="217" t="inlineStr">
        <is>
          <t xml:space="preserve">    w = 0.35</t>
        </is>
      </c>
    </row>
    <row r="449" ht="13" customHeight="1" s="90">
      <c r="C449" s="217" t="inlineStr">
        <is>
          <t xml:space="preserve">    ax.bar(x - w/2, m_curr, w, color=RED, alpha=0.85, label="Current EV/EBITDA (2026E)")</t>
        </is>
      </c>
    </row>
    <row r="450" ht="13" customHeight="1" s="90">
      <c r="C450" s="217" t="inlineStr">
        <is>
          <t xml:space="preserve">    ax.bar(x + w/2, m_5yr,  w, color=GOLD, alpha=0.6, label="5yr Avg EV/EBITDA", hatch="//")</t>
        </is>
      </c>
    </row>
    <row r="451" ht="13" customHeight="1" s="90">
      <c r="C451" s="217" t="inlineStr">
        <is>
          <t xml:space="preserve">    ax.set_xticks(x); ax.set_xticklabels(m_names, color=MID, fontsize=8)</t>
        </is>
      </c>
    </row>
    <row r="452" ht="13" customHeight="1" s="90">
      <c r="C452" s="217" t="inlineStr">
        <is>
          <t xml:space="preserve">    ax.set_ylabel("EV/EBITDA (x)", fontsize=8)</t>
        </is>
      </c>
    </row>
    <row r="453" ht="13" customHeight="1" s="90">
      <c r="C453" s="217" t="inlineStr">
        <is>
          <t xml:space="preserve">    ax.set_title("Copper Miner EV/EBITDA: Current vs 5yr Average\nMiners pricing copper below incentive price — sector median ~22% discount", color=WHITE, fontsize=9.5, pad=10)</t>
        </is>
      </c>
    </row>
    <row r="454" ht="13" customHeight="1" s="90">
      <c r="C454" s="217" t="inlineStr">
        <is>
          <t xml:space="preserve">    ax.legend(fontsize=8, facecolor=BLUE, edgecolor=NAVY, labelcolor=WHITE)</t>
        </is>
      </c>
    </row>
    <row r="455" ht="13" customHeight="1" s="90">
      <c r="C455" s="217" t="inlineStr">
        <is>
          <t xml:space="preserve">    # Discount labels</t>
        </is>
      </c>
    </row>
    <row r="456" ht="13" customHeight="1" s="90">
      <c r="C456" s="217" t="inlineStr">
        <is>
          <t xml:space="preserve">    for i, (c, avg) in enumerate(zip(m_curr, m_5yr)):</t>
        </is>
      </c>
    </row>
    <row r="457" ht="13" customHeight="1" s="90">
      <c r="C457" s="217" t="inlineStr">
        <is>
          <t xml:space="preserve">        if avg &gt; 0:</t>
        </is>
      </c>
    </row>
    <row r="458" ht="13" customHeight="1" s="90">
      <c r="C458" s="217" t="inlineStr">
        <is>
          <t xml:space="preserve">            disc = (c/avg - 1)*100</t>
        </is>
      </c>
    </row>
    <row r="459" ht="13" customHeight="1" s="90">
      <c r="C459" s="217" t="inlineStr">
        <is>
          <t xml:space="preserve">            ax.text(i, max(c, avg) + 0.15, f"{disc:.0f}%", ha="center", color=RED if disc &lt; 0 else GREEN, fontsize=7.5)</t>
        </is>
      </c>
    </row>
    <row r="460" ht="13" customHeight="1" s="90">
      <c r="C460" s="217" t="inlineStr">
        <is>
          <t xml:space="preserve">    fig.text(0.99, 0.01, "Source: Bloomberg, FactSet Apr 2026. Workbook: Miner_Comps", color=MID, fontsize=6, ha="right")</t>
        </is>
      </c>
    </row>
    <row r="461" ht="13" customHeight="1" s="90">
      <c r="C461" s="217" t="inlineStr">
        <is>
          <t xml:space="preserve">    save(fig, "m03_miner_valuation.png")</t>
        </is>
      </c>
    </row>
    <row r="462" ht="13" customHeight="1" s="90">
      <c r="C462" s="217" t="inlineStr"/>
    </row>
    <row r="463" ht="13" customHeight="1" s="90">
      <c r="C463" s="217" t="inlineStr">
        <is>
          <t xml:space="preserve">    # 5. DXY vs copper price dual axis</t>
        </is>
      </c>
    </row>
    <row r="464" ht="13" customHeight="1" s="90">
      <c r="C464" s="217" t="inlineStr">
        <is>
          <t xml:space="preserve">    ws_pr = wb["Price_DXY"]</t>
        </is>
      </c>
    </row>
    <row r="465" ht="13" customHeight="1" s="90">
      <c r="C465" s="217" t="inlineStr">
        <is>
          <t xml:space="preserve">    pr_years, cu_lb, dxy = [], [], []</t>
        </is>
      </c>
    </row>
    <row r="466" ht="13" customHeight="1" s="90">
      <c r="C466" s="217" t="inlineStr">
        <is>
          <t xml:space="preserve">    for row in ws_pr.iter_rows(min_row=3, max_row=22, values_only=True):</t>
        </is>
      </c>
    </row>
    <row r="467" ht="13" customHeight="1" s="90">
      <c r="C467" s="217" t="inlineStr">
        <is>
          <t xml:space="preserve">        if row[0] and isinstance(row[0], (int, float)):</t>
        </is>
      </c>
    </row>
    <row r="468" ht="13" customHeight="1" s="90">
      <c r="C468" s="217" t="inlineStr">
        <is>
          <t xml:space="preserve">            pr_years.append(int(row[0]))</t>
        </is>
      </c>
    </row>
    <row r="469" ht="13" customHeight="1" s="90">
      <c r="C469" s="217" t="inlineStr">
        <is>
          <t xml:space="preserve">            cu_lb.append(float(row[1]) if row[1] else None)</t>
        </is>
      </c>
    </row>
    <row r="470" ht="13" customHeight="1" s="90">
      <c r="C470" s="217" t="inlineStr">
        <is>
          <t xml:space="preserve">            dxy.append(float(row[3]) if row[3] else None)</t>
        </is>
      </c>
    </row>
    <row r="471" ht="13" customHeight="1" s="90">
      <c r="C471" s="217" t="inlineStr">
        <is>
          <t xml:space="preserve">    # Filter out None pairs</t>
        </is>
      </c>
    </row>
    <row r="472" ht="13" customHeight="1" s="90">
      <c r="C472" s="217" t="inlineStr">
        <is>
          <t xml:space="preserve">    valid = [(y, c, d) for y, c, d in zip(pr_years, cu_lb, dxy) if c and d]</t>
        </is>
      </c>
    </row>
    <row r="473" ht="13" customHeight="1" s="90">
      <c r="C473" s="217" t="inlineStr">
        <is>
          <t xml:space="preserve">    if valid:</t>
        </is>
      </c>
    </row>
    <row r="474" ht="13" customHeight="1" s="90">
      <c r="C474" s="217" t="inlineStr">
        <is>
          <t xml:space="preserve">        pr_years_v, cu_lb_v, dxy_v = zip(*valid)</t>
        </is>
      </c>
    </row>
    <row r="475" ht="13" customHeight="1" s="90">
      <c r="C475" s="217" t="inlineStr">
        <is>
          <t xml:space="preserve">        fig, ax1 = plt.subplots(figsize=(11, 5), facecolor=NAVY)</t>
        </is>
      </c>
    </row>
    <row r="476" ht="13" customHeight="1" s="90">
      <c r="C476" s="217" t="inlineStr">
        <is>
          <t xml:space="preserve">        ax1.set_facecolor(NAVY)</t>
        </is>
      </c>
    </row>
    <row r="477" ht="13" customHeight="1" s="90">
      <c r="C477" s="217" t="inlineStr">
        <is>
          <t xml:space="preserve">        ax1.plot(pr_years_v, cu_lb_v, color=GOLD, linewidth=2.5, marker="o", markersize=4.5, label="LME Copper ($/lb)")</t>
        </is>
      </c>
    </row>
    <row r="478" ht="13" customHeight="1" s="90">
      <c r="C478" s="217" t="inlineStr">
        <is>
          <t xml:space="preserve">        ax1.set_ylabel("LME Copper ($/lb)", color=GOLD, fontsize=8)</t>
        </is>
      </c>
    </row>
    <row r="479" ht="13" customHeight="1" s="90">
      <c r="C479" s="217" t="inlineStr">
        <is>
          <t xml:space="preserve">        ax1.tick_params(colors=MID)</t>
        </is>
      </c>
    </row>
    <row r="480" ht="13" customHeight="1" s="90">
      <c r="C480" s="217" t="inlineStr">
        <is>
          <t xml:space="preserve">        for spine in ax1.spines.values(): spine.set_edgecolor(BLUE)</t>
        </is>
      </c>
    </row>
    <row r="481" ht="13" customHeight="1" s="90">
      <c r="C481" s="217" t="inlineStr">
        <is>
          <t xml:space="preserve">        ax1.spines["top"].set_visible(False)</t>
        </is>
      </c>
    </row>
    <row r="482" ht="13" customHeight="1" s="90">
      <c r="C482" s="217" t="inlineStr">
        <is>
          <t xml:space="preserve">        ax1.set_facecolor(NAVY)</t>
        </is>
      </c>
    </row>
    <row r="483" ht="13" customHeight="1" s="90">
      <c r="C483" s="217" t="inlineStr">
        <is>
          <t xml:space="preserve">        ax1.grid(axis="y", color=BLUE, alpha=0.2, linewidth=0.5)</t>
        </is>
      </c>
    </row>
    <row r="484" ht="13" customHeight="1" s="90">
      <c r="C484" s="217" t="inlineStr">
        <is>
          <t xml:space="preserve">        ax2 = ax1.twinx()</t>
        </is>
      </c>
    </row>
    <row r="485" ht="13" customHeight="1" s="90">
      <c r="C485" s="217" t="inlineStr">
        <is>
          <t xml:space="preserve">        ax2.set_facecolor(NAVY)</t>
        </is>
      </c>
    </row>
    <row r="486" ht="13" customHeight="1" s="90">
      <c r="C486" s="217" t="inlineStr">
        <is>
          <t xml:space="preserve">        ax2.plot(pr_years_v, dxy_v, color=ACCENT, linewidth=2, linestyle="--", marker="s", markersize=3.5, label="DXY Index")</t>
        </is>
      </c>
    </row>
    <row r="487" ht="13" customHeight="1" s="90">
      <c r="C487" s="217" t="inlineStr">
        <is>
          <t xml:space="preserve">        ax2.set_ylabel("DXY Index", color=ACCENT, fontsize=8)</t>
        </is>
      </c>
    </row>
    <row r="488" ht="13" customHeight="1" s="90">
      <c r="C488" s="217" t="inlineStr">
        <is>
          <t xml:space="preserve">        ax2.tick_params(colors=MID)</t>
        </is>
      </c>
    </row>
    <row r="489" ht="13" customHeight="1" s="90">
      <c r="C489" s="217" t="inlineStr">
        <is>
          <t xml:space="preserve">        ax2.spines["right"].set_edgecolor(BLUE)</t>
        </is>
      </c>
    </row>
    <row r="490" ht="13" customHeight="1" s="90">
      <c r="C490" s="217" t="inlineStr">
        <is>
          <t xml:space="preserve">        ax2.spines["top"].set_visible(False)</t>
        </is>
      </c>
    </row>
    <row r="491" ht="13" customHeight="1" s="90">
      <c r="C491" s="217" t="inlineStr">
        <is>
          <t xml:space="preserve">        lines = [plt.Line2D([0],[0], color=GOLD, marker="o", label="Copper ($/lb)"),</t>
        </is>
      </c>
    </row>
    <row r="492" ht="13" customHeight="1" s="90">
      <c r="C492" s="217" t="inlineStr">
        <is>
          <t xml:space="preserve">                 plt.Line2D([0],[0], color=ACCENT, marker="s", linestyle="--", label="DXY Index")]</t>
        </is>
      </c>
    </row>
    <row r="493" ht="13" customHeight="1" s="90">
      <c r="C493" s="217" t="inlineStr">
        <is>
          <t xml:space="preserve">        ax1.legend(handles=lines, fontsize=8, facecolor=BLUE, edgecolor=NAVY, labelcolor=WHITE)</t>
        </is>
      </c>
    </row>
    <row r="494" ht="13" customHeight="1" s="90">
      <c r="C494" s="217" t="inlineStr">
        <is>
          <t xml:space="preserve">        ax1.set_title("LME Copper Price vs DXY Index (2010-2024)\nInverse relationship most pronounced at cycle turning points", color=WHITE, fontsize=9.5, pad=10)</t>
        </is>
      </c>
    </row>
    <row r="495" ht="13" customHeight="1" s="90">
      <c r="C495" s="217" t="inlineStr">
        <is>
          <t xml:space="preserve">        fig.text(0.99, 0.01, "Source: LME, Bloomberg, Federal Reserve. Workbook: Price_DXY", color=MID, fontsize=6, ha="right")</t>
        </is>
      </c>
    </row>
    <row r="496" ht="13" customHeight="1" s="90">
      <c r="C496" s="217" t="inlineStr">
        <is>
          <t xml:space="preserve">        fig.set_facecolor(NAVY)</t>
        </is>
      </c>
    </row>
    <row r="497" ht="13" customHeight="1" s="90">
      <c r="C497" s="217" t="inlineStr">
        <is>
          <t xml:space="preserve">        save(fig, "m03_dxy_copper.png")</t>
        </is>
      </c>
    </row>
    <row r="498" ht="13" customHeight="1" s="90">
      <c r="C498" s="217" t="inlineStr"/>
    </row>
    <row r="499" ht="13" customHeight="1" s="90">
      <c r="C499" s="217" t="inlineStr">
        <is>
          <t xml:space="preserve">    # 6. LME+SHFE Inventory</t>
        </is>
      </c>
    </row>
    <row r="500" ht="13" customHeight="1" s="90">
      <c r="C500" s="217" t="inlineStr">
        <is>
          <t xml:space="preserve">    ws_inv = wb["LME_SHFE_Inventory"]</t>
        </is>
      </c>
    </row>
    <row r="501" ht="13" customHeight="1" s="90">
      <c r="C501" s="217" t="inlineStr">
        <is>
          <t xml:space="preserve">    inv_years, lme_inv, shfe_inv, days_cov = [], [], [], []</t>
        </is>
      </c>
    </row>
    <row r="502" ht="13" customHeight="1" s="90">
      <c r="C502" s="217" t="inlineStr">
        <is>
          <t xml:space="preserve">    for row in ws_inv.iter_rows(min_row=4, max_row=16, values_only=True):</t>
        </is>
      </c>
    </row>
    <row r="503" ht="13" customHeight="1" s="90">
      <c r="C503" s="217" t="inlineStr">
        <is>
          <t xml:space="preserve">        if row[0] and isinstance(row[0], (int, float)):</t>
        </is>
      </c>
    </row>
    <row r="504" ht="13" customHeight="1" s="90">
      <c r="C504" s="217" t="inlineStr">
        <is>
          <t xml:space="preserve">            inv_years.append(int(row[0]))</t>
        </is>
      </c>
    </row>
    <row r="505" ht="13" customHeight="1" s="90">
      <c r="C505" s="217" t="inlineStr">
        <is>
          <t xml:space="preserve">            lme_inv.append(float(row[1]) if row[1] else 0)</t>
        </is>
      </c>
    </row>
    <row r="506" ht="13" customHeight="1" s="90">
      <c r="C506" s="217" t="inlineStr">
        <is>
          <t xml:space="preserve">            shfe_inv.append(float(row[2]) if row[2] else 0)</t>
        </is>
      </c>
    </row>
    <row r="507" ht="13" customHeight="1" s="90">
      <c r="C507" s="217" t="inlineStr">
        <is>
          <t xml:space="preserve">            days_cov.append(float(row[5]) if row[5] and isinstance(row[5],(int,float)) else None)</t>
        </is>
      </c>
    </row>
    <row r="508" ht="13" customHeight="1" s="90">
      <c r="C508" s="217" t="inlineStr">
        <is>
          <t xml:space="preserve">    fig, ax1 = plt.subplots(figsize=(10, 5), facecolor=NAVY)</t>
        </is>
      </c>
    </row>
    <row r="509" ht="13" customHeight="1" s="90">
      <c r="C509" s="217" t="inlineStr">
        <is>
          <t xml:space="preserve">    ax1.set_facecolor(NAVY)</t>
        </is>
      </c>
    </row>
    <row r="510" ht="13" customHeight="1" s="90">
      <c r="C510" s="217" t="inlineStr">
        <is>
          <t xml:space="preserve">    x = np.arange(len(inv_years))</t>
        </is>
      </c>
    </row>
    <row r="511" ht="13" customHeight="1" s="90">
      <c r="C511" s="217" t="inlineStr">
        <is>
          <t xml:space="preserve">    ax1.bar(x, lme_inv,  color=BLUE,  alpha=0.85, label="LME Inventory (kt)", width=0.7)</t>
        </is>
      </c>
    </row>
    <row r="512" ht="13" customHeight="1" s="90">
      <c r="C512" s="217" t="inlineStr">
        <is>
          <t xml:space="preserve">    ax1.bar(x, shfe_inv, color=ACCENT, alpha=0.7,  label="SHFE Inventory (kt)", width=0.7,</t>
        </is>
      </c>
    </row>
    <row r="513" ht="13" customHeight="1" s="90">
      <c r="C513" s="217" t="inlineStr">
        <is>
          <t xml:space="preserve">            bottom=lme_inv)</t>
        </is>
      </c>
    </row>
    <row r="514" ht="13" customHeight="1" s="90">
      <c r="C514" s="217" t="inlineStr">
        <is>
          <t xml:space="preserve">    ax1.set_xticks(x); ax1.set_xticklabels(inv_years, color=MID, fontsize=7.5)</t>
        </is>
      </c>
    </row>
    <row r="515" ht="13" customHeight="1" s="90">
      <c r="C515" s="217" t="inlineStr">
        <is>
          <t xml:space="preserve">    ax1.set_ylabel("Total Exchange Stocks (kt)", color=MID, fontsize=8)</t>
        </is>
      </c>
    </row>
    <row r="516" ht="13" customHeight="1" s="90">
      <c r="C516" s="217" t="inlineStr">
        <is>
          <t xml:space="preserve">    ax1.tick_params(colors=MID)</t>
        </is>
      </c>
    </row>
    <row r="517" ht="13" customHeight="1" s="90">
      <c r="C517" s="217" t="inlineStr">
        <is>
          <t xml:space="preserve">    for s in ax1.spines.values(): s.set_edgecolor(BLUE)</t>
        </is>
      </c>
    </row>
    <row r="518" ht="13" customHeight="1" s="90">
      <c r="C518" s="217" t="inlineStr">
        <is>
          <t xml:space="preserve">    ax1.set_facecolor(NAVY)</t>
        </is>
      </c>
    </row>
    <row r="519" ht="13" customHeight="1" s="90">
      <c r="C519" s="217" t="inlineStr">
        <is>
          <t xml:space="preserve">    ax1.grid(axis="y", color=BLUE, alpha=0.2, linewidth=0.5)</t>
        </is>
      </c>
    </row>
    <row r="520" ht="13" customHeight="1" s="90">
      <c r="C520" s="217" t="inlineStr">
        <is>
          <t xml:space="preserve">    if any(d for d in days_cov if d):</t>
        </is>
      </c>
    </row>
    <row r="521" ht="13" customHeight="1" s="90">
      <c r="C521" s="217" t="inlineStr">
        <is>
          <t xml:space="preserve">        ax2 = ax1.twinx()</t>
        </is>
      </c>
    </row>
    <row r="522" ht="13" customHeight="1" s="90">
      <c r="C522" s="217" t="inlineStr">
        <is>
          <t xml:space="preserve">        ax2.set_facecolor(NAVY)</t>
        </is>
      </c>
    </row>
    <row r="523" ht="13" customHeight="1" s="90">
      <c r="C523" s="217" t="inlineStr">
        <is>
          <t xml:space="preserve">        valid_days = [(i, d) for i, d in enumerate(days_cov) if d]</t>
        </is>
      </c>
    </row>
    <row r="524" ht="13" customHeight="1" s="90">
      <c r="C524" s="217" t="inlineStr">
        <is>
          <t xml:space="preserve">        ax2.plot([i for i,d in valid_days], [d for i,d in valid_days],</t>
        </is>
      </c>
    </row>
    <row r="525" ht="13" customHeight="1" s="90">
      <c r="C525" s="217" t="inlineStr">
        <is>
          <t xml:space="preserve">                 color=GOLD, linewidth=2, marker="D", markersize=4, label="Days of demand coverage")</t>
        </is>
      </c>
    </row>
    <row r="526" ht="13" customHeight="1" s="90">
      <c r="C526" s="217" t="inlineStr">
        <is>
          <t xml:space="preserve">        ax2.set_ylabel("Days of Demand Coverage", color=GOLD, fontsize=8)</t>
        </is>
      </c>
    </row>
    <row r="527" ht="13" customHeight="1" s="90">
      <c r="C527" s="217" t="inlineStr">
        <is>
          <t xml:space="preserve">        ax2.tick_params(colors=MID)</t>
        </is>
      </c>
    </row>
    <row r="528" ht="13" customHeight="1" s="90">
      <c r="C528" s="217" t="inlineStr">
        <is>
          <t xml:space="preserve">        ax2.spines["right"].set_edgecolor(BLUE)</t>
        </is>
      </c>
    </row>
    <row r="529" ht="13" customHeight="1" s="90">
      <c r="C529" s="217" t="inlineStr">
        <is>
          <t xml:space="preserve">        ax2.spines["top"].set_visible(False)</t>
        </is>
      </c>
    </row>
    <row r="530" ht="13" customHeight="1" s="90">
      <c r="C530" s="217" t="inlineStr">
        <is>
          <t xml:space="preserve">    ax1.legend(fontsize=8, facecolor=BLUE, edgecolor=NAVY, labelcolor=WHITE, loc="upper right")</t>
        </is>
      </c>
    </row>
    <row r="531" ht="13" customHeight="1" s="90">
      <c r="C531" s="217" t="inlineStr">
        <is>
          <t xml:space="preserve">    ax1.set_title("LME + SHFE Copper Exchange Stocks (2015-2025)\nInventory at 2.6 days demand coverage — near 10-year low", color=WHITE, fontsize=9.5, pad=10)</t>
        </is>
      </c>
    </row>
    <row r="532" ht="13" customHeight="1" s="90">
      <c r="C532" s="217" t="inlineStr">
        <is>
          <t xml:space="preserve">    fig.text(0.99, 0.01, "Source: LME, SHFE. Workbook: LME_SHFE_Inventory", color=MID, fontsize=6, ha="right")</t>
        </is>
      </c>
    </row>
    <row r="533" ht="13" customHeight="1" s="90">
      <c r="C533" s="217" t="inlineStr">
        <is>
          <t xml:space="preserve">    fig.set_facecolor(NAVY)</t>
        </is>
      </c>
    </row>
    <row r="534" ht="13" customHeight="1" s="90">
      <c r="C534" s="217" t="inlineStr">
        <is>
          <t xml:space="preserve">    save(fig, "m03_inventory.png")</t>
        </is>
      </c>
    </row>
    <row r="535" ht="13" customHeight="1" s="90">
      <c r="C535" s="217" t="inlineStr"/>
    </row>
    <row r="536" ht="13" customHeight="1" s="90">
      <c r="C536" s="217" t="inlineStr">
        <is>
          <t xml:space="preserve">    # 7. EBITDA sensitivity</t>
        </is>
      </c>
    </row>
    <row r="537" ht="13" customHeight="1" s="90">
      <c r="C537" s="217" t="inlineStr">
        <is>
          <t xml:space="preserve">    cu_prices = [4.00, 4.50, 5.00, 5.50, 6.00]</t>
        </is>
      </c>
    </row>
    <row r="538" ht="13" customHeight="1" s="90">
      <c r="C538" s="217" t="inlineStr">
        <is>
          <t xml:space="preserve">    ebitda_idx = [0.87, 1.0, 1.18, 1.35, 1.53]</t>
        </is>
      </c>
    </row>
    <row r="539" ht="13" customHeight="1" s="90">
      <c r="C539" s="217" t="inlineStr">
        <is>
          <t xml:space="preserve">    fig, ax = base_fig(8, 4.5)</t>
        </is>
      </c>
    </row>
    <row r="540" ht="13" customHeight="1" s="90">
      <c r="C540" s="217" t="inlineStr">
        <is>
          <t xml:space="preserve">    colors_e = [RED, BLUE, BLUE, GREEN, GREEN]</t>
        </is>
      </c>
    </row>
    <row r="541" ht="13" customHeight="1" s="90">
      <c r="C541" s="217" t="inlineStr">
        <is>
          <t xml:space="preserve">    bars = ax.bar([f"${p:.2f}/lb" for p in cu_prices], ebitda_idx, color=colors_e, alpha=0.85, width=0.45)</t>
        </is>
      </c>
    </row>
    <row r="542" ht="13" customHeight="1" s="90">
      <c r="C542" s="217" t="inlineStr">
        <is>
          <t xml:space="preserve">    ax.axhline(1.0, color=GOLD, linewidth=1.5, linestyle="--", alpha=0.7, label="Base (spot $4.50)")</t>
        </is>
      </c>
    </row>
    <row r="543" ht="13" customHeight="1" s="90">
      <c r="C543" s="217" t="inlineStr">
        <is>
          <t xml:space="preserve">    ax.set_ylabel("Sector EBITDA Index (base = $4.50/lb = 1.0)", fontsize=7.5)</t>
        </is>
      </c>
    </row>
    <row r="544" ht="13" customHeight="1" s="90">
      <c r="C544" s="217" t="inlineStr">
        <is>
          <t xml:space="preserve">    ax.set_title("Copper Miner EBITDA Sensitivity to Copper Price\nAt Goldman Sachs $5.50/lb target, EBITDA +35% vs base", color=WHITE, fontsize=9.5, pad=10)</t>
        </is>
      </c>
    </row>
    <row r="545" ht="13" customHeight="1" s="90">
      <c r="C545" s="217" t="inlineStr">
        <is>
          <t xml:space="preserve">    for bar, idx in zip(bars, ebitda_idx):</t>
        </is>
      </c>
    </row>
    <row r="546" ht="13" customHeight="1" s="90">
      <c r="C546" s="217" t="inlineStr">
        <is>
          <t xml:space="preserve">        ax.text(bar.get_x() + bar.get_width()/2, idx + 0.015, f"{idx:.2f}x", ha="center", color=WHITE, fontsize=8, fontweight="bold")</t>
        </is>
      </c>
    </row>
    <row r="547" ht="13" customHeight="1" s="90">
      <c r="C547" s="217" t="inlineStr">
        <is>
          <t xml:space="preserve">    ax.legend(fontsize=8, facecolor=BLUE, edgecolor=NAVY, labelcolor=WHITE)</t>
        </is>
      </c>
    </row>
    <row r="548" ht="13" customHeight="1" s="90">
      <c r="C548" s="217" t="inlineStr">
        <is>
          <t xml:space="preserve">    fig.text(0.99, 0.01, "Source: Bloomberg consensus Apr 2026, FactSet. Workbook: Miner_Comps", color=MID, fontsize=6, ha="right")</t>
        </is>
      </c>
    </row>
    <row r="549" ht="13" customHeight="1" s="90">
      <c r="C549" s="217" t="inlineStr">
        <is>
          <t xml:space="preserve">    save(fig, "m03_ebitda_sensitivity.png")</t>
        </is>
      </c>
    </row>
    <row r="550" ht="13" customHeight="1" s="90">
      <c r="C550" s="217" t="inlineStr"/>
    </row>
    <row r="551" ht="13" customHeight="1" s="90">
      <c r="C551" s="217" t="inlineStr"/>
    </row>
    <row r="552" ht="13" customHeight="1" s="90">
      <c r="C552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553" ht="13" customHeight="1" s="90">
      <c r="C553" s="217" t="inlineStr">
        <is>
          <t># SHORT MEMO 04 — Emerging Markets</t>
        </is>
      </c>
    </row>
    <row r="554" ht="13" customHeight="1" s="90">
      <c r="C554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555" ht="13" customHeight="1" s="90">
      <c r="C555" s="217" t="inlineStr">
        <is>
          <t>def memo04_charts():</t>
        </is>
      </c>
    </row>
    <row r="556" ht="13" customHeight="1" s="90">
      <c r="C556" s="217" t="inlineStr">
        <is>
          <t xml:space="preserve">    wb = openpyxl.load_workbook("mnt/outputs/memo-04-emerging-markets-data.xlsx", data_only=True)</t>
        </is>
      </c>
    </row>
    <row r="557" ht="13" customHeight="1" s="90">
      <c r="C557" s="217" t="inlineStr"/>
    </row>
    <row r="558" ht="13" customHeight="1" s="90">
      <c r="C558" s="217" t="inlineStr">
        <is>
          <t xml:space="preserve">    # --- DXY vs EM ---</t>
        </is>
      </c>
    </row>
    <row r="559" ht="13" customHeight="1" s="90">
      <c r="C559" s="217" t="inlineStr">
        <is>
          <t xml:space="preserve">    ws_dxy = wb["DXY_MSCI_EM"]</t>
        </is>
      </c>
    </row>
    <row r="560" ht="13" customHeight="1" s="90">
      <c r="C560" s="217" t="inlineStr">
        <is>
          <t xml:space="preserve">    em_years, dxy_vals, em_ret, dm_ret = [], [], [], []</t>
        </is>
      </c>
    </row>
    <row r="561" ht="13" customHeight="1" s="90">
      <c r="C561" s="217" t="inlineStr">
        <is>
          <t xml:space="preserve">    for row in ws_dxy.iter_rows(min_row=3, max_row=22, values_only=True):</t>
        </is>
      </c>
    </row>
    <row r="562" ht="13" customHeight="1" s="90">
      <c r="C562" s="217" t="inlineStr">
        <is>
          <t xml:space="preserve">        if row[0] and isinstance(row[0], (int, float)):</t>
        </is>
      </c>
    </row>
    <row r="563" ht="13" customHeight="1" s="90">
      <c r="C563" s="217" t="inlineStr">
        <is>
          <t xml:space="preserve">            em_years.append(int(row[0]))</t>
        </is>
      </c>
    </row>
    <row r="564" ht="13" customHeight="1" s="90">
      <c r="C564" s="217" t="inlineStr">
        <is>
          <t xml:space="preserve">            dxy_vals.append(float(row[1]) if row[1] else None)</t>
        </is>
      </c>
    </row>
    <row r="565" ht="13" customHeight="1" s="90">
      <c r="C565" s="217" t="inlineStr">
        <is>
          <t xml:space="preserve">            em_ret.append(float(row[2]) if row[2] else None)</t>
        </is>
      </c>
    </row>
    <row r="566" ht="13" customHeight="1" s="90">
      <c r="C566" s="217" t="inlineStr">
        <is>
          <t xml:space="preserve">            dm_ret.append(float(row[3]) if row[3] else None)</t>
        </is>
      </c>
    </row>
    <row r="567" ht="13" customHeight="1" s="90">
      <c r="C567" s="217" t="inlineStr"/>
    </row>
    <row r="568" ht="13" customHeight="1" s="90">
      <c r="C568" s="217" t="inlineStr">
        <is>
          <t xml:space="preserve">    # 1. DXY vs EM scatter</t>
        </is>
      </c>
    </row>
    <row r="569" ht="13" customHeight="1" s="90">
      <c r="C569" s="217" t="inlineStr">
        <is>
          <t xml:space="preserve">    valid = [(y, d, e) for y, d, e in zip(em_years, dxy_vals, em_ret) if d and e is not None]</t>
        </is>
      </c>
    </row>
    <row r="570" ht="13" customHeight="1" s="90">
      <c r="C570" s="217" t="inlineStr">
        <is>
          <t xml:space="preserve">    if valid:</t>
        </is>
      </c>
    </row>
    <row r="571" ht="13" customHeight="1" s="90">
      <c r="C571" s="217" t="inlineStr">
        <is>
          <t xml:space="preserve">        vy, vd, ve = zip(*valid)</t>
        </is>
      </c>
    </row>
    <row r="572" ht="13" customHeight="1" s="90">
      <c r="C572" s="217" t="inlineStr">
        <is>
          <t xml:space="preserve">        from scipy import stats</t>
        </is>
      </c>
    </row>
    <row r="573" ht="13" customHeight="1" s="90">
      <c r="C573" s="217" t="inlineStr">
        <is>
          <t xml:space="preserve">        slope, intercept, r, p, se = stats.linregress(vd, ve)</t>
        </is>
      </c>
    </row>
    <row r="574" ht="13" customHeight="1" s="90">
      <c r="C574" s="217" t="inlineStr">
        <is>
          <t xml:space="preserve">        fig, ax = base_fig(9, 5.5)</t>
        </is>
      </c>
    </row>
    <row r="575" ht="13" customHeight="1" s="90">
      <c r="C575" s="217" t="inlineStr">
        <is>
          <t xml:space="preserve">        sc = ax.scatter(vd, ve, c=vy, cmap="plasma", s=65, zorder=5, edgecolors=WHITE, linewidth=0.5)</t>
        </is>
      </c>
    </row>
    <row r="576" ht="13" customHeight="1" s="90">
      <c r="C576" s="217" t="inlineStr">
        <is>
          <t xml:space="preserve">        x_line = np.linspace(min(vd)-2, max(vd)+2, 100)</t>
        </is>
      </c>
    </row>
    <row r="577" ht="13" customHeight="1" s="90">
      <c r="C577" s="217" t="inlineStr">
        <is>
          <t xml:space="preserve">        ax.plot(x_line, intercept + slope*x_line, color=ACCENT, linewidth=1.8, linestyle="--", alpha=0.7)</t>
        </is>
      </c>
    </row>
    <row r="578" ht="13" customHeight="1" s="90">
      <c r="C578" s="217" t="inlineStr">
        <is>
          <t xml:space="preserve">        for xi, yi, yr in zip(vd, ve, vy):</t>
        </is>
      </c>
    </row>
    <row r="579" ht="13" customHeight="1" s="90">
      <c r="C579" s="217" t="inlineStr">
        <is>
          <t xml:space="preserve">            ax.annotate(str(yr), (xi, yi), textcoords="offset points", xytext=(4, 3), fontsize=6.5, color=MID)</t>
        </is>
      </c>
    </row>
    <row r="580" ht="13" customHeight="1" s="90">
      <c r="C580" s="217" t="inlineStr">
        <is>
          <t xml:space="preserve">        cbar = fig.colorbar(sc, ax=ax, pad=0.02)</t>
        </is>
      </c>
    </row>
    <row r="581" ht="13" customHeight="1" s="90">
      <c r="C581" s="217" t="inlineStr">
        <is>
          <t xml:space="preserve">        cbar.set_label("Year", color=MID, fontsize=8)</t>
        </is>
      </c>
    </row>
    <row r="582" ht="13" customHeight="1" s="90">
      <c r="C582" s="217" t="inlineStr">
        <is>
          <t xml:space="preserve">        cbar.ax.yaxis.set_tick_params(color=MID)</t>
        </is>
      </c>
    </row>
    <row r="583" ht="13" customHeight="1" s="90">
      <c r="C583" s="217" t="inlineStr">
        <is>
          <t xml:space="preserve">        plt.setp(plt.getp(cbar.ax.axes, "yticklabels"), color=MID)</t>
        </is>
      </c>
    </row>
    <row r="584" ht="13" customHeight="1" s="90">
      <c r="C584" s="217" t="inlineStr">
        <is>
          <t xml:space="preserve">        ax.set_xlabel("DXY Annual Average", fontsize=8)</t>
        </is>
      </c>
    </row>
    <row r="585" ht="13" customHeight="1" s="90">
      <c r="C585" s="217" t="inlineStr">
        <is>
          <t xml:space="preserve">        ax.set_ylabel("MSCI EM Annual Return (%)", fontsize=8)</t>
        </is>
      </c>
    </row>
    <row r="586" ht="13" customHeight="1" s="90">
      <c r="C586" s="217" t="inlineStr">
        <is>
          <t xml:space="preserve">        ax.set_title(f"DXY Level vs MSCI EM Annual Return (2007-2024)\nInverse relationship most visible at DXY cycle peaks", color=WHITE, fontsize=9.5, pad=10)</t>
        </is>
      </c>
    </row>
    <row r="587" ht="13" customHeight="1" s="90">
      <c r="C587" s="217" t="inlineStr">
        <is>
          <t xml:space="preserve">        ax.text(0.97, 0.93, f"OLS: r = {r:.3f}\np = {p:.3f} (weak linear)", transform=ax.transAxes,</t>
        </is>
      </c>
    </row>
    <row r="588" ht="13" customHeight="1" s="90">
      <c r="C588" s="217" t="inlineStr">
        <is>
          <t xml:space="preserve">                ha="right", va="top", color=MID, fontsize=7.5, bbox=dict(boxstyle="round,pad=0.3", facecolor=BLUE, edgecolor=BLUE))</t>
        </is>
      </c>
    </row>
    <row r="589" ht="13" customHeight="1" s="90">
      <c r="C589" s="217" t="inlineStr">
        <is>
          <t xml:space="preserve">        fig.text(0.99, 0.01, "Source: Bloomberg, MSCI. Workbook: DXY_MSCI_EM + OLS_DXY_EM", color=MID, fontsize=6, ha="right")</t>
        </is>
      </c>
    </row>
    <row r="590" ht="13" customHeight="1" s="90">
      <c r="C590" s="217" t="inlineStr">
        <is>
          <t xml:space="preserve">        save(fig, "m04_dxy_em_scatter.png")</t>
        </is>
      </c>
    </row>
    <row r="591" ht="13" customHeight="1" s="90">
      <c r="C591" s="217" t="inlineStr"/>
    </row>
    <row r="592" ht="13" customHeight="1" s="90">
      <c r="C592" s="217" t="inlineStr">
        <is>
          <t xml:space="preserve">    # 2. EM vs DM returns comparison bar</t>
        </is>
      </c>
    </row>
    <row r="593" ht="13" customHeight="1" s="90">
      <c r="C593" s="217" t="inlineStr">
        <is>
          <t xml:space="preserve">    valid2 = [(y, e, d) for y, e, d in zip(em_years, em_ret, dm_ret) if e is not None and d is not None]</t>
        </is>
      </c>
    </row>
    <row r="594" ht="13" customHeight="1" s="90">
      <c r="C594" s="217" t="inlineStr">
        <is>
          <t xml:space="preserve">    if valid2:</t>
        </is>
      </c>
    </row>
    <row r="595" ht="13" customHeight="1" s="90">
      <c r="C595" s="217" t="inlineStr">
        <is>
          <t xml:space="preserve">        vy2, ve2, vd2 = zip(*valid2)</t>
        </is>
      </c>
    </row>
    <row r="596" ht="13" customHeight="1" s="90">
      <c r="C596" s="217" t="inlineStr">
        <is>
          <t xml:space="preserve">        fig, ax = base_fig(12, 5)</t>
        </is>
      </c>
    </row>
    <row r="597" ht="13" customHeight="1" s="90">
      <c r="C597" s="217" t="inlineStr">
        <is>
          <t xml:space="preserve">        x = np.arange(len(vy2))</t>
        </is>
      </c>
    </row>
    <row r="598" ht="13" customHeight="1" s="90">
      <c r="C598" s="217" t="inlineStr">
        <is>
          <t xml:space="preserve">        w = 0.38</t>
        </is>
      </c>
    </row>
    <row r="599" ht="13" customHeight="1" s="90">
      <c r="C599" s="217" t="inlineStr">
        <is>
          <t xml:space="preserve">        ax.bar(x - w/2, ve2, w, color=ACCENT, alpha=0.85, label="MSCI EM Return (%)")</t>
        </is>
      </c>
    </row>
    <row r="600" ht="13" customHeight="1" s="90">
      <c r="C600" s="217" t="inlineStr">
        <is>
          <t xml:space="preserve">        ax.bar(x + w/2, vd2, w, color=BLUE,  alpha=0.7,  label="MSCI World Return (%)")</t>
        </is>
      </c>
    </row>
    <row r="601" ht="13" customHeight="1" s="90">
      <c r="C601" s="217" t="inlineStr">
        <is>
          <t xml:space="preserve">        ax.axhline(0, color=MID, linewidth=0.8)</t>
        </is>
      </c>
    </row>
    <row r="602" ht="13" customHeight="1" s="90">
      <c r="C602" s="217" t="inlineStr">
        <is>
          <t xml:space="preserve">        ax.set_xticks(x[::2]); ax.set_xticklabels(vy2[::2], color=MID, fontsize=8)</t>
        </is>
      </c>
    </row>
    <row r="603" ht="13" customHeight="1" s="90">
      <c r="C603" s="217" t="inlineStr">
        <is>
          <t xml:space="preserve">        ax.set_ylabel("Annual Return (%)", fontsize=8)</t>
        </is>
      </c>
    </row>
    <row r="604" ht="13" customHeight="1" s="90">
      <c r="C604" s="217" t="inlineStr">
        <is>
          <t xml:space="preserve">        ax.set_title("MSCI EM vs MSCI World Annual Returns (2007-2024)", color=WHITE, fontsize=10, pad=10)</t>
        </is>
      </c>
    </row>
    <row r="605" ht="13" customHeight="1" s="90">
      <c r="C605" s="217" t="inlineStr">
        <is>
          <t xml:space="preserve">        ax.legend(fontsize=8, facecolor=BLUE, edgecolor=NAVY, labelcolor=WHITE)</t>
        </is>
      </c>
    </row>
    <row r="606" ht="13" customHeight="1" s="90">
      <c r="C606" s="217" t="inlineStr">
        <is>
          <t xml:space="preserve">        fig.text(0.99, 0.01, "Source: Bloomberg, MSCI. Workbook: DXY_MSCI_EM", color=MID, fontsize=6, ha="right")</t>
        </is>
      </c>
    </row>
    <row r="607" ht="13" customHeight="1" s="90">
      <c r="C607" s="217" t="inlineStr">
        <is>
          <t xml:space="preserve">        save(fig, "m04_em_dm_returns.png")</t>
        </is>
      </c>
    </row>
    <row r="608" ht="13" customHeight="1" s="90">
      <c r="C608" s="217" t="inlineStr"/>
    </row>
    <row r="609" ht="13" customHeight="1" s="90">
      <c r="C609" s="217" t="inlineStr">
        <is>
          <t xml:space="preserve">    # 3. P/E discount history</t>
        </is>
      </c>
    </row>
    <row r="610" ht="13" customHeight="1" s="90">
      <c r="C610" s="217" t="inlineStr">
        <is>
          <t xml:space="preserve">    ws_disc = wb["EM_DM_Discount"]</t>
        </is>
      </c>
    </row>
    <row r="611" ht="13" customHeight="1" s="90">
      <c r="C611" s="217" t="inlineStr">
        <is>
          <t xml:space="preserve">    disc_years, em_pe, wld_pe = [], [], []</t>
        </is>
      </c>
    </row>
    <row r="612" ht="13" customHeight="1" s="90">
      <c r="C612" s="217" t="inlineStr">
        <is>
          <t xml:space="preserve">    for row in ws_disc.iter_rows(min_row=3, max_row=30, values_only=True):</t>
        </is>
      </c>
    </row>
    <row r="613" ht="13" customHeight="1" s="90">
      <c r="C613" s="217" t="inlineStr">
        <is>
          <t xml:space="preserve">        if row[0] and isinstance(row[0],(int,float)) and row[1] and row[2]:</t>
        </is>
      </c>
    </row>
    <row r="614" ht="13" customHeight="1" s="90">
      <c r="C614" s="217" t="inlineStr">
        <is>
          <t xml:space="preserve">            disc_years.append(int(row[0]))</t>
        </is>
      </c>
    </row>
    <row r="615" ht="13" customHeight="1" s="90">
      <c r="C615" s="217" t="inlineStr">
        <is>
          <t xml:space="preserve">            em_pe.append(float(row[1]))</t>
        </is>
      </c>
    </row>
    <row r="616" ht="13" customHeight="1" s="90">
      <c r="C616" s="217" t="inlineStr">
        <is>
          <t xml:space="preserve">            wld_pe.append(float(row[2]))</t>
        </is>
      </c>
    </row>
    <row r="617" ht="13" customHeight="1" s="90">
      <c r="C617" s="217" t="inlineStr">
        <is>
          <t xml:space="preserve">    if disc_years:</t>
        </is>
      </c>
    </row>
    <row r="618" ht="13" customHeight="1" s="90">
      <c r="C618" s="217" t="inlineStr">
        <is>
          <t xml:space="preserve">        disc_pct = [(e/w - 1)*100 for e, w in zip(em_pe, wld_pe)]</t>
        </is>
      </c>
    </row>
    <row r="619" ht="13" customHeight="1" s="90">
      <c r="C619" s="217" t="inlineStr">
        <is>
          <t xml:space="preserve">        avg_d = np.mean(disc_pct)</t>
        </is>
      </c>
    </row>
    <row r="620" ht="13" customHeight="1" s="90">
      <c r="C620" s="217" t="inlineStr">
        <is>
          <t xml:space="preserve">        fig, ax = base_fig(11, 5)</t>
        </is>
      </c>
    </row>
    <row r="621" ht="13" customHeight="1" s="90">
      <c r="C621" s="217" t="inlineStr">
        <is>
          <t xml:space="preserve">        ax.fill_between(disc_years, disc_pct, [avg_d]*len(disc_years), alpha=0.2,</t>
        </is>
      </c>
    </row>
    <row r="622" ht="13" customHeight="1" s="90">
      <c r="C622" s="217" t="inlineStr">
        <is>
          <t xml:space="preserve">                        color=RED, where=[d &lt; avg_d for d in disc_pct],</t>
        </is>
      </c>
    </row>
    <row r="623" ht="13" customHeight="1" s="90">
      <c r="C623" s="217" t="inlineStr">
        <is>
          <t xml:space="preserve">                        label="Below 20yr avg (cheap)")</t>
        </is>
      </c>
    </row>
    <row r="624" ht="13" customHeight="1" s="90">
      <c r="C624" s="217" t="inlineStr">
        <is>
          <t xml:space="preserve">        ax.fill_between(disc_years, disc_pct, [avg_d]*len(disc_years), alpha=0.15,</t>
        </is>
      </c>
    </row>
    <row r="625" ht="13" customHeight="1" s="90">
      <c r="C625" s="217" t="inlineStr">
        <is>
          <t xml:space="preserve">                        color=GREEN, where=[d &gt;= avg_d for d in disc_pct])</t>
        </is>
      </c>
    </row>
    <row r="626" ht="13" customHeight="1" s="90">
      <c r="C626" s="217" t="inlineStr">
        <is>
          <t xml:space="preserve">        ax.plot(disc_years, disc_pct, color=GOLD, linewidth=2, label="EM/DM P/E Discount (%)")</t>
        </is>
      </c>
    </row>
    <row r="627" ht="13" customHeight="1" s="90">
      <c r="C627" s="217" t="inlineStr">
        <is>
          <t xml:space="preserve">        ax.axhline(avg_d, color=GREEN, linewidth=1.5, linestyle="--", alpha=0.7, label=f"20yr avg: {avg_d:.1f}%")</t>
        </is>
      </c>
    </row>
    <row r="628" ht="13" customHeight="1" s="90">
      <c r="C628" s="217" t="inlineStr">
        <is>
          <t xml:space="preserve">        ax.axhline(-37, color=RED, linewidth=1, linestyle=":", alpha=0.7)</t>
        </is>
      </c>
    </row>
    <row r="629" ht="13" customHeight="1" s="90">
      <c r="C629" s="217" t="inlineStr">
        <is>
          <t xml:space="preserve">        ax.text(disc_years[-3], -35, f"Current: -37%", color=RED, fontsize=7.5, ha="right")</t>
        </is>
      </c>
    </row>
    <row r="630" ht="13" customHeight="1" s="90">
      <c r="C630" s="217" t="inlineStr">
        <is>
          <t xml:space="preserve">        ax.set_ylabel("EM vs DM P/E Discount (%)", fontsize=8)</t>
        </is>
      </c>
    </row>
    <row r="631" ht="13" customHeight="1" s="90">
      <c r="C631" s="217" t="inlineStr">
        <is>
          <t xml:space="preserve">        ax.set_title("MSCI EM vs MSCI World Forward P/E Discount — History\nCurrent -37% discount near 2008-09 extremes", color=WHITE, fontsize=9.5, pad=10)</t>
        </is>
      </c>
    </row>
    <row r="632" ht="13" customHeight="1" s="90">
      <c r="C632" s="217" t="inlineStr">
        <is>
          <t xml:space="preserve">        ax.legend(fontsize=8, facecolor=BLUE, edgecolor=NAVY, labelcolor=WHITE)</t>
        </is>
      </c>
    </row>
    <row r="633" ht="13" customHeight="1" s="90">
      <c r="C633" s="217" t="inlineStr">
        <is>
          <t xml:space="preserve">        ax.set_xlim(disc_years[0]-0.5, disc_years[-1]+1)</t>
        </is>
      </c>
    </row>
    <row r="634" ht="13" customHeight="1" s="90">
      <c r="C634" s="217" t="inlineStr">
        <is>
          <t xml:space="preserve">        fig.text(0.99, 0.01, "Source: Bloomberg, FactSet. Workbook: EM_DM_Discount", color=MID, fontsize=6, ha="right")</t>
        </is>
      </c>
    </row>
    <row r="635" ht="13" customHeight="1" s="90">
      <c r="C635" s="217" t="inlineStr">
        <is>
          <t xml:space="preserve">        save(fig, "m04_pe_discount_history.png")</t>
        </is>
      </c>
    </row>
    <row r="636" ht="13" customHeight="1" s="90">
      <c r="C636" s="217" t="inlineStr"/>
    </row>
    <row r="637" ht="13" customHeight="1" s="90">
      <c r="C637" s="217" t="inlineStr">
        <is>
          <t xml:space="preserve">    # 4. Country valuations</t>
        </is>
      </c>
    </row>
    <row r="638" ht="13" customHeight="1" s="90">
      <c r="C638" s="217" t="inlineStr">
        <is>
          <t xml:space="preserve">    ws_cv = wb["Country_Valuations"]</t>
        </is>
      </c>
    </row>
    <row r="639" ht="13" customHeight="1" s="90">
      <c r="C639" s="217" t="inlineStr">
        <is>
          <t xml:space="preserve">    cv_countries, cv_ntm, cv_5yr, cv_wt = [], [], [], []</t>
        </is>
      </c>
    </row>
    <row r="640" ht="13" customHeight="1" s="90">
      <c r="C640" s="217" t="inlineStr">
        <is>
          <t xml:space="preserve">    for row in ws_cv.iter_rows(min_row=3, max_row=13, values_only=True):</t>
        </is>
      </c>
    </row>
    <row r="641" ht="13" customHeight="1" s="90">
      <c r="C641" s="217" t="inlineStr">
        <is>
          <t xml:space="preserve">        if row[0] and row[0] not in ("Country", "MSCI EM (index)"):</t>
        </is>
      </c>
    </row>
    <row r="642" ht="13" customHeight="1" s="90">
      <c r="C642" s="217" t="inlineStr">
        <is>
          <t xml:space="preserve">            cv_countries.append(str(row[0]))</t>
        </is>
      </c>
    </row>
    <row r="643" ht="13" customHeight="1" s="90">
      <c r="C643" s="217" t="inlineStr">
        <is>
          <t xml:space="preserve">            cv_wt.append(float(row[1]) if row[1] else 0)</t>
        </is>
      </c>
    </row>
    <row r="644" ht="13" customHeight="1" s="90">
      <c r="C644" s="217" t="inlineStr">
        <is>
          <t xml:space="preserve">            cv_ntm.append(float(row[2]) if row[2] and isinstance(row[2],(int,float)) else 0)</t>
        </is>
      </c>
    </row>
    <row r="645" ht="13" customHeight="1" s="90">
      <c r="C645" s="217" t="inlineStr">
        <is>
          <t xml:space="preserve">            cv_5yr.append(float(row[3]) if row[3] and isinstance(row[3],(int,float)) else 0)</t>
        </is>
      </c>
    </row>
    <row r="646" ht="13" customHeight="1" s="90">
      <c r="C646" s="217" t="inlineStr">
        <is>
          <t xml:space="preserve">    if cv_countries:</t>
        </is>
      </c>
    </row>
    <row r="647" ht="13" customHeight="1" s="90">
      <c r="C647" s="217" t="inlineStr">
        <is>
          <t xml:space="preserve">        fig, ax = base_fig(10, 5.5)</t>
        </is>
      </c>
    </row>
    <row r="648" ht="13" customHeight="1" s="90">
      <c r="C648" s="217" t="inlineStr">
        <is>
          <t xml:space="preserve">        x = np.arange(len(cv_countries))</t>
        </is>
      </c>
    </row>
    <row r="649" ht="13" customHeight="1" s="90">
      <c r="C649" s="217" t="inlineStr">
        <is>
          <t xml:space="preserve">        w = 0.38</t>
        </is>
      </c>
    </row>
    <row r="650" ht="13" customHeight="1" s="90">
      <c r="C650" s="217" t="inlineStr">
        <is>
          <t xml:space="preserve">        disc_c = [(n-a)/a*100 for n,a in zip(cv_ntm, cv_5yr)]</t>
        </is>
      </c>
    </row>
    <row r="651" ht="13" customHeight="1" s="90">
      <c r="C651" s="217" t="inlineStr">
        <is>
          <t xml:space="preserve">        colors_c = [GREEN if d &lt; -10 else GOLD if d &lt; 5 else RED for d in disc_c]</t>
        </is>
      </c>
    </row>
    <row r="652" ht="13" customHeight="1" s="90">
      <c r="C652" s="217" t="inlineStr">
        <is>
          <t xml:space="preserve">        ax.bar(x - w/2, cv_ntm, w, color=colors_c, alpha=0.9, label="Current NTM P/E")</t>
        </is>
      </c>
    </row>
    <row r="653" ht="13" customHeight="1" s="90">
      <c r="C653" s="217" t="inlineStr">
        <is>
          <t xml:space="preserve">        ax.bar(x + w/2, cv_5yr, w, color=GOLD, alpha=0.5, label="5yr Avg P/E", hatch="//")</t>
        </is>
      </c>
    </row>
    <row r="654" ht="13" customHeight="1" s="90">
      <c r="C654" s="217" t="inlineStr">
        <is>
          <t xml:space="preserve">        ax.set_xticks(x); ax.set_xticklabels(cv_countries, color=MID, fontsize=7.5, rotation=30, ha="right")</t>
        </is>
      </c>
    </row>
    <row r="655" ht="13" customHeight="1" s="90">
      <c r="C655" s="217" t="inlineStr">
        <is>
          <t xml:space="preserve">        ax.set_ylabel("Forward P/E (x)", fontsize=8)</t>
        </is>
      </c>
    </row>
    <row r="656" ht="13" customHeight="1" s="90">
      <c r="C656" s="217" t="inlineStr">
        <is>
          <t xml:space="preserve">        ax.set_title("MSCI EM Country Valuations vs 5yr Average\nChina, Korea, Brazil, South Africa at multi-year discounts", color=WHITE, fontsize=9.5, pad=10)</t>
        </is>
      </c>
    </row>
    <row r="657" ht="13" customHeight="1" s="90">
      <c r="C657" s="217" t="inlineStr">
        <is>
          <t xml:space="preserve">        ax.legend(fontsize=8, facecolor=BLUE, edgecolor=NAVY, labelcolor=WHITE)</t>
        </is>
      </c>
    </row>
    <row r="658" ht="13" customHeight="1" s="90">
      <c r="C658" s="217" t="inlineStr">
        <is>
          <t xml:space="preserve">        fig.text(0.99, 0.01, "Source: Bloomberg, FactSet, MSCI Apr 2026. Workbook: Country_Valuations", color=MID, fontsize=6, ha="right")</t>
        </is>
      </c>
    </row>
    <row r="659" ht="13" customHeight="1" s="90">
      <c r="C659" s="217" t="inlineStr">
        <is>
          <t xml:space="preserve">        save(fig, "m04_country_valuations.png")</t>
        </is>
      </c>
    </row>
    <row r="660" ht="13" customHeight="1" s="90">
      <c r="C660" s="217" t="inlineStr"/>
    </row>
    <row r="661" ht="13" customHeight="1" s="90">
      <c r="C661" s="217" t="inlineStr">
        <is>
          <t xml:space="preserve">    # 5. Capital flows — EM vs US</t>
        </is>
      </c>
    </row>
    <row r="662" ht="13" customHeight="1" s="90">
      <c r="C662" s="217" t="inlineStr">
        <is>
          <t xml:space="preserve">    ws_cf = wb["Capital_Flows"]</t>
        </is>
      </c>
    </row>
    <row r="663" ht="13" customHeight="1" s="90">
      <c r="C663" s="217" t="inlineStr">
        <is>
          <t xml:space="preserve">    cf_years, us_f, em_f = [], [], []</t>
        </is>
      </c>
    </row>
    <row r="664" ht="13" customHeight="1" s="90">
      <c r="C664" s="217" t="inlineStr">
        <is>
          <t xml:space="preserve">    for row in ws_cf.iter_rows(min_row=3, max_row=11, values_only=True):</t>
        </is>
      </c>
    </row>
    <row r="665" ht="13" customHeight="1" s="90">
      <c r="C665" s="217" t="inlineStr">
        <is>
          <t xml:space="preserve">        if row[0] and isinstance(row[0],(int,float)):</t>
        </is>
      </c>
    </row>
    <row r="666" ht="13" customHeight="1" s="90">
      <c r="C666" s="217" t="inlineStr">
        <is>
          <t xml:space="preserve">            cf_years.append(int(row[0]))</t>
        </is>
      </c>
    </row>
    <row r="667" ht="13" customHeight="1" s="90">
      <c r="C667" s="217" t="inlineStr">
        <is>
          <t xml:space="preserve">            us_f.append(float(row[1]) if row[1] else 0)</t>
        </is>
      </c>
    </row>
    <row r="668" ht="13" customHeight="1" s="90">
      <c r="C668" s="217" t="inlineStr">
        <is>
          <t xml:space="preserve">            em_f.append(float(row[2]) if row[2] else 0)</t>
        </is>
      </c>
    </row>
    <row r="669" ht="13" customHeight="1" s="90">
      <c r="C669" s="217" t="inlineStr">
        <is>
          <t xml:space="preserve">    if cf_years:</t>
        </is>
      </c>
    </row>
    <row r="670" ht="13" customHeight="1" s="90">
      <c r="C670" s="217" t="inlineStr">
        <is>
          <t xml:space="preserve">        fig, ax = base_fig(10, 5)</t>
        </is>
      </c>
    </row>
    <row r="671" ht="13" customHeight="1" s="90">
      <c r="C671" s="217" t="inlineStr">
        <is>
          <t xml:space="preserve">        x = np.arange(len(cf_years))</t>
        </is>
      </c>
    </row>
    <row r="672" ht="13" customHeight="1" s="90">
      <c r="C672" s="217" t="inlineStr">
        <is>
          <t xml:space="preserve">        w = 0.38</t>
        </is>
      </c>
    </row>
    <row r="673" ht="13" customHeight="1" s="90">
      <c r="C673" s="217" t="inlineStr">
        <is>
          <t xml:space="preserve">        ax.bar(x - w/2, us_f, w, color=ACCENT, alpha=0.85, label="US Equity Net Flows ($bn)")</t>
        </is>
      </c>
    </row>
    <row r="674" ht="13" customHeight="1" s="90">
      <c r="C674" s="217" t="inlineStr">
        <is>
          <t xml:space="preserve">        ax.bar(x + w/2, em_f, w, color=BLUE,  alpha=0.85, label="EM Equity Net Flows ($bn)")</t>
        </is>
      </c>
    </row>
    <row r="675" ht="13" customHeight="1" s="90">
      <c r="C675" s="217" t="inlineStr">
        <is>
          <t xml:space="preserve">        ax.axhline(0, color=MID, linewidth=0.8)</t>
        </is>
      </c>
    </row>
    <row r="676" ht="13" customHeight="1" s="90">
      <c r="C676" s="217" t="inlineStr">
        <is>
          <t xml:space="preserve">        ax.set_xticks(x); ax.set_xticklabels(cf_years, color=MID, fontsize=8)</t>
        </is>
      </c>
    </row>
    <row r="677" ht="13" customHeight="1" s="90">
      <c r="C677" s="217" t="inlineStr">
        <is>
          <t xml:space="preserve">        ax.set_ylabel("Net Equity Flows ($bn)", fontsize=8)</t>
        </is>
      </c>
    </row>
    <row r="678" ht="13" customHeight="1" s="90">
      <c r="C678" s="217" t="inlineStr">
        <is>
          <t xml:space="preserve">        ax.set_title("Capital Flows: US vs EM Equities (2019-2025)\nRecord EM underweight — positioning reversal could amplify macro tailwinds", color=WHITE, fontsize=9.5, pad=10)</t>
        </is>
      </c>
    </row>
    <row r="679" ht="13" customHeight="1" s="90">
      <c r="C679" s="217" t="inlineStr">
        <is>
          <t xml:space="preserve">        ax.legend(fontsize=8, facecolor=BLUE, edgecolor=NAVY, labelcolor=WHITE)</t>
        </is>
      </c>
    </row>
    <row r="680" ht="13" customHeight="1" s="90">
      <c r="C680" s="217" t="inlineStr">
        <is>
          <t xml:space="preserve">        fig.text(0.99, 0.01, "Source: EPFR Global, BofA Global Research. Workbook: Capital_Flows", color=MID, fontsize=6, ha="right")</t>
        </is>
      </c>
    </row>
    <row r="681" ht="13" customHeight="1" s="90">
      <c r="C681" s="217" t="inlineStr">
        <is>
          <t xml:space="preserve">        save(fig, "m04_capital_flows.png")</t>
        </is>
      </c>
    </row>
    <row r="682" ht="13" customHeight="1" s="90">
      <c r="C682" s="217" t="inlineStr"/>
    </row>
    <row r="683" ht="13" customHeight="1" s="90">
      <c r="C683" s="217" t="inlineStr">
        <is>
          <t xml:space="preserve">    # 6. ECB/Fed rate differential</t>
        </is>
      </c>
    </row>
    <row r="684" ht="13" customHeight="1" s="90">
      <c r="C684" s="217" t="inlineStr">
        <is>
          <t xml:space="preserve">    ws_ecb = wb["ECB_Fed_Differential"]</t>
        </is>
      </c>
    </row>
    <row r="685" ht="13" customHeight="1" s="90">
      <c r="C685" s="217" t="inlineStr">
        <is>
          <t xml:space="preserve">    ecb_years, fed_r, ecb_r, dxy_e, em_ret_e = [], [], [], [], []</t>
        </is>
      </c>
    </row>
    <row r="686" ht="13" customHeight="1" s="90">
      <c r="C686" s="217" t="inlineStr">
        <is>
          <t xml:space="preserve">    for row in ws_ecb.iter_rows(min_row=3, max_row=11, values_only=True):</t>
        </is>
      </c>
    </row>
    <row r="687" ht="13" customHeight="1" s="90">
      <c r="C687" s="217" t="inlineStr">
        <is>
          <t xml:space="preserve">        if row[0] and isinstance(row[0],(int,float)):</t>
        </is>
      </c>
    </row>
    <row r="688" ht="13" customHeight="1" s="90">
      <c r="C688" s="217" t="inlineStr">
        <is>
          <t xml:space="preserve">            ecb_years.append(int(row[0]))</t>
        </is>
      </c>
    </row>
    <row r="689" ht="13" customHeight="1" s="90">
      <c r="C689" s="217" t="inlineStr">
        <is>
          <t xml:space="preserve">            fed_r.append(float(row[1]) if row[1] else None)</t>
        </is>
      </c>
    </row>
    <row r="690" ht="13" customHeight="1" s="90">
      <c r="C690" s="217" t="inlineStr">
        <is>
          <t xml:space="preserve">            ecb_r.append(float(row[2]) if row[2] else None)</t>
        </is>
      </c>
    </row>
    <row r="691" ht="13" customHeight="1" s="90">
      <c r="C691" s="217" t="inlineStr">
        <is>
          <t xml:space="preserve">            dxy_e.append(float(row[4]) if row[4] and isinstance(row[4],(int,float)) else None)</t>
        </is>
      </c>
    </row>
    <row r="692" ht="13" customHeight="1" s="90">
      <c r="C692" s="217" t="inlineStr">
        <is>
          <t xml:space="preserve">    fig, ax1 = plt.subplots(figsize=(10, 5), facecolor=NAVY)</t>
        </is>
      </c>
    </row>
    <row r="693" ht="13" customHeight="1" s="90">
      <c r="C693" s="217" t="inlineStr">
        <is>
          <t xml:space="preserve">    ax1.set_facecolor(NAVY)</t>
        </is>
      </c>
    </row>
    <row r="694" ht="13" customHeight="1" s="90">
      <c r="C694" s="217" t="inlineStr">
        <is>
          <t xml:space="preserve">    valid_ecb = [(y, f, e) for y, f, e in zip(ecb_years, fed_r, ecb_r) if f and e]</t>
        </is>
      </c>
    </row>
    <row r="695" ht="13" customHeight="1" s="90">
      <c r="C695" s="217" t="inlineStr">
        <is>
          <t xml:space="preserve">    if valid_ecb:</t>
        </is>
      </c>
    </row>
    <row r="696" ht="13" customHeight="1" s="90">
      <c r="C696" s="217" t="inlineStr">
        <is>
          <t xml:space="preserve">        vy_e, vf_e, ve_e = zip(*valid_ecb)</t>
        </is>
      </c>
    </row>
    <row r="697" ht="13" customHeight="1" s="90">
      <c r="C697" s="217" t="inlineStr">
        <is>
          <t xml:space="preserve">        x = np.arange(len(vy_e))</t>
        </is>
      </c>
    </row>
    <row r="698" ht="13" customHeight="1" s="90">
      <c r="C698" s="217" t="inlineStr">
        <is>
          <t xml:space="preserve">        w = 0.35</t>
        </is>
      </c>
    </row>
    <row r="699" ht="13" customHeight="1" s="90">
      <c r="C699" s="217" t="inlineStr">
        <is>
          <t xml:space="preserve">        ax1.bar(x - w/2, vf_e, w, color=ACCENT, alpha=0.85, label="Fed Funds Rate (%)")</t>
        </is>
      </c>
    </row>
    <row r="700" ht="13" customHeight="1" s="90">
      <c r="C700" s="217" t="inlineStr">
        <is>
          <t xml:space="preserve">        ax1.bar(x + w/2, ve_e, w, color=BLUE,  alpha=0.85, label="ECB Deposit Rate (%)")</t>
        </is>
      </c>
    </row>
    <row r="701" ht="13" customHeight="1" s="90">
      <c r="C701" s="217" t="inlineStr">
        <is>
          <t xml:space="preserve">        diff = [f - e for f, e in zip(vf_e, ve_e)]</t>
        </is>
      </c>
    </row>
    <row r="702" ht="13" customHeight="1" s="90">
      <c r="C702" s="217" t="inlineStr">
        <is>
          <t xml:space="preserve">        ax1.plot(x, diff, color=GOLD, linewidth=2, marker="o", markersize=5, label="Fed-ECB Differential (pp)")</t>
        </is>
      </c>
    </row>
    <row r="703" ht="13" customHeight="1" s="90">
      <c r="C703" s="217" t="inlineStr">
        <is>
          <t xml:space="preserve">        ax1.set_xticks(x); ax1.set_xticklabels(vy_e, color=MID, fontsize=8)</t>
        </is>
      </c>
    </row>
    <row r="704" ht="13" customHeight="1" s="90">
      <c r="C704" s="217" t="inlineStr">
        <is>
          <t xml:space="preserve">        ax1.set_ylabel("Policy Rate / Differential (%)", color=MID, fontsize=8)</t>
        </is>
      </c>
    </row>
    <row r="705" ht="13" customHeight="1" s="90">
      <c r="C705" s="217" t="inlineStr">
        <is>
          <t xml:space="preserve">    ax1.tick_params(colors=MID)</t>
        </is>
      </c>
    </row>
    <row r="706" ht="13" customHeight="1" s="90">
      <c r="C706" s="217" t="inlineStr">
        <is>
          <t xml:space="preserve">    for s in ax1.spines.values(): s.set_edgecolor(BLUE)</t>
        </is>
      </c>
    </row>
    <row r="707" ht="13" customHeight="1" s="90">
      <c r="C707" s="217" t="inlineStr">
        <is>
          <t xml:space="preserve">    ax1.spines["top"].set_visible(False)</t>
        </is>
      </c>
    </row>
    <row r="708" ht="13" customHeight="1" s="90">
      <c r="C708" s="217" t="inlineStr">
        <is>
          <t xml:space="preserve">    ax1.set_facecolor(NAVY)</t>
        </is>
      </c>
    </row>
    <row r="709" ht="13" customHeight="1" s="90">
      <c r="C709" s="217" t="inlineStr">
        <is>
          <t xml:space="preserve">    ax1.grid(axis="y", color=BLUE, alpha=0.2, linewidth=0.5)</t>
        </is>
      </c>
    </row>
    <row r="710" ht="13" customHeight="1" s="90">
      <c r="C710" s="217" t="inlineStr">
        <is>
          <t xml:space="preserve">    ax1.legend(fontsize=8, facecolor=BLUE, edgecolor=NAVY, labelcolor=WHITE)</t>
        </is>
      </c>
    </row>
    <row r="711" ht="13" customHeight="1" s="90">
      <c r="C711" s="217" t="inlineStr">
        <is>
          <t xml:space="preserve">    ax1.set_title("ECB vs Fed Policy Rates (2019-2026E)\nECB ahead of Fed in cutting cycle — narrows rate differential supporting EM", color=WHITE, fontsize=9.5, pad=10)</t>
        </is>
      </c>
    </row>
    <row r="712" ht="13" customHeight="1" s="90">
      <c r="C712" s="217" t="inlineStr">
        <is>
          <t xml:space="preserve">    fig.text(0.99, 0.01, "Source: ECB, Federal Reserve. Workbook: ECB_Fed_Differential", color=MID, fontsize=6, ha="right")</t>
        </is>
      </c>
    </row>
    <row r="713" ht="13" customHeight="1" s="90">
      <c r="C713" s="217" t="inlineStr">
        <is>
          <t xml:space="preserve">    fig.set_facecolor(NAVY)</t>
        </is>
      </c>
    </row>
    <row r="714" ht="13" customHeight="1" s="90">
      <c r="C714" s="217" t="inlineStr">
        <is>
          <t xml:space="preserve">    save(fig, "m04_ecb_fed.png")</t>
        </is>
      </c>
    </row>
    <row r="715" ht="13" customHeight="1" s="90">
      <c r="C715" s="217" t="inlineStr"/>
    </row>
    <row r="716" ht="13" customHeight="1" s="90">
      <c r="C716" s="217" t="inlineStr"/>
    </row>
    <row r="717" ht="13" customHeight="1" s="90">
      <c r="C717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18" ht="13" customHeight="1" s="90">
      <c r="C718" s="217" t="inlineStr">
        <is>
          <t># SHORT MEMO 05 — Biotech</t>
        </is>
      </c>
    </row>
    <row r="719" ht="13" customHeight="1" s="90">
      <c r="C719" s="217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20" ht="13" customHeight="1" s="90">
      <c r="C720" s="217" t="inlineStr">
        <is>
          <t>def memo05_charts():</t>
        </is>
      </c>
    </row>
    <row r="721" ht="13" customHeight="1" s="90">
      <c r="C721" s="217" t="inlineStr">
        <is>
          <t xml:space="preserve">    wb = openpyxl.load_workbook("mnt/outputs/memo-05-biotech-data.xlsx", data_only=True)</t>
        </is>
      </c>
    </row>
    <row r="722" ht="13" customHeight="1" s="90">
      <c r="C722" s="217" t="inlineStr"/>
    </row>
    <row r="723" ht="13" customHeight="1" s="90">
      <c r="C723" s="217" t="inlineStr">
        <is>
          <t xml:space="preserve">    # EV/Sales + UST data</t>
        </is>
      </c>
    </row>
    <row r="724" ht="13" customHeight="1" s="90">
      <c r="C724" s="217" t="inlineStr">
        <is>
          <t xml:space="preserve">    ws_reg = wb["3.EV-Sales Regression"]</t>
        </is>
      </c>
    </row>
    <row r="725" ht="13" customHeight="1" s="90">
      <c r="C725" s="217" t="inlineStr">
        <is>
          <t xml:space="preserve">    reg_years, ev_sales, ust = [], [], []</t>
        </is>
      </c>
    </row>
    <row r="726" ht="13" customHeight="1" s="90">
      <c r="C726" s="217" t="inlineStr">
        <is>
          <t xml:space="preserve">    for row in ws_reg.iter_rows(min_row=4, max_row=16, values_only=True):</t>
        </is>
      </c>
    </row>
    <row r="727" ht="13" customHeight="1" s="90">
      <c r="C727" s="217" t="inlineStr">
        <is>
          <t xml:space="preserve">        if row[0] and isinstance(row[0],(int,float)):</t>
        </is>
      </c>
    </row>
    <row r="728" ht="13" customHeight="1" s="90">
      <c r="C728" s="217" t="inlineStr">
        <is>
          <t xml:space="preserve">            reg_years.append(int(row[0]))</t>
        </is>
      </c>
    </row>
    <row r="729" ht="13" customHeight="1" s="90">
      <c r="C729" s="217" t="inlineStr">
        <is>
          <t xml:space="preserve">            ev_sales.append(float(row[1]) if row[1] else None)</t>
        </is>
      </c>
    </row>
    <row r="730" ht="13" customHeight="1" s="90">
      <c r="C730" s="217" t="inlineStr">
        <is>
          <t xml:space="preserve">            ust.append(float(row[3]) if row[3] else None)</t>
        </is>
      </c>
    </row>
    <row r="731" ht="13" customHeight="1" s="90">
      <c r="C731" s="217" t="inlineStr"/>
    </row>
    <row r="732" ht="13" customHeight="1" s="90">
      <c r="C732" s="217" t="inlineStr">
        <is>
          <t xml:space="preserve">    # 1. XBI EV/Sales vs UST dual axis</t>
        </is>
      </c>
    </row>
    <row r="733" ht="13" customHeight="1" s="90">
      <c r="C733" s="217" t="inlineStr">
        <is>
          <t xml:space="preserve">    valid = [(y, e, u) for y, e, u in zip(reg_years, ev_sales, ust) if e and u]</t>
        </is>
      </c>
    </row>
    <row r="734" ht="13" customHeight="1" s="90">
      <c r="C734" s="217" t="inlineStr">
        <is>
          <t xml:space="preserve">    if valid:</t>
        </is>
      </c>
    </row>
    <row r="735" ht="13" customHeight="1" s="90">
      <c r="C735" s="217" t="inlineStr">
        <is>
          <t xml:space="preserve">        vy, ve, vu = zip(*valid)</t>
        </is>
      </c>
    </row>
    <row r="736" ht="13" customHeight="1" s="90">
      <c r="C736" s="217" t="inlineStr">
        <is>
          <t xml:space="preserve">        fig, ax1 = plt.subplots(figsize=(11, 5), facecolor=NAVY)</t>
        </is>
      </c>
    </row>
    <row r="737" ht="13" customHeight="1" s="90">
      <c r="C737" s="217" t="inlineStr">
        <is>
          <t xml:space="preserve">        ax1.set_facecolor(NAVY)</t>
        </is>
      </c>
    </row>
    <row r="738" ht="13" customHeight="1" s="90">
      <c r="C738" s="217" t="inlineStr">
        <is>
          <t xml:space="preserve">        ax1.bar(vy, ve, color=BLUE, alpha=0.6, label="XBI NTM EV/Sales (x)", width=0.7)</t>
        </is>
      </c>
    </row>
    <row r="739" ht="13" customHeight="1" s="90">
      <c r="C739" s="217" t="inlineStr">
        <is>
          <t xml:space="preserve">        ax1.set_ylabel("XBI EV/Sales Multiple (x)", color=BLUE, fontsize=8)</t>
        </is>
      </c>
    </row>
    <row r="740" ht="13" customHeight="1" s="90">
      <c r="C740" s="217" t="inlineStr">
        <is>
          <t xml:space="preserve">        ax1.tick_params(colors=MID)</t>
        </is>
      </c>
    </row>
    <row r="741" ht="13" customHeight="1" s="90">
      <c r="C741" s="217" t="inlineStr">
        <is>
          <t xml:space="preserve">        for s in ax1.spines.values(): s.set_edgecolor(BLUE)</t>
        </is>
      </c>
    </row>
    <row r="742" ht="13" customHeight="1" s="90">
      <c r="C742" s="217" t="inlineStr">
        <is>
          <t xml:space="preserve">        ax1.spines["top"].set_visible(False)</t>
        </is>
      </c>
    </row>
    <row r="743" ht="13" customHeight="1" s="90">
      <c r="C743" s="217" t="inlineStr">
        <is>
          <t xml:space="preserve">        ax1.set_facecolor(NAVY)</t>
        </is>
      </c>
    </row>
    <row r="744" ht="13" customHeight="1" s="90">
      <c r="C744" s="217" t="inlineStr">
        <is>
          <t xml:space="preserve">        ax1.grid(axis="y", color=BLUE, alpha=0.2, linewidth=0.5)</t>
        </is>
      </c>
    </row>
    <row r="745" ht="13" customHeight="1" s="90">
      <c r="C745" s="217" t="inlineStr">
        <is>
          <t xml:space="preserve">        ax2 = ax1.twinx()</t>
        </is>
      </c>
    </row>
    <row r="746" ht="13" customHeight="1" s="90">
      <c r="C746" s="217" t="inlineStr">
        <is>
          <t xml:space="preserve">        ax2.set_facecolor(NAVY)</t>
        </is>
      </c>
    </row>
    <row r="747" ht="13" customHeight="1" s="90">
      <c r="C747" s="217" t="inlineStr">
        <is>
          <t xml:space="preserve">        ax2.plot(vy, vu, color=RED, linewidth=2.5, marker="o", markersize=5, label="UST 10yr Rate (%)")</t>
        </is>
      </c>
    </row>
    <row r="748" ht="13" customHeight="1" s="90">
      <c r="C748" s="217" t="inlineStr">
        <is>
          <t xml:space="preserve">        ax2.set_ylabel("UST 10yr Rate (%)", color=RED, fontsize=8)</t>
        </is>
      </c>
    </row>
    <row r="749" ht="13" customHeight="1" s="90">
      <c r="C749" s="217" t="inlineStr">
        <is>
          <t xml:space="preserve">        ax2.tick_params(colors=MID)</t>
        </is>
      </c>
    </row>
    <row r="750" ht="13" customHeight="1" s="90">
      <c r="C750" s="217" t="inlineStr">
        <is>
          <t xml:space="preserve">        ax2.spines["right"].set_edgecolor(BLUE)</t>
        </is>
      </c>
    </row>
    <row r="751" ht="13" customHeight="1" s="90">
      <c r="C751" s="217" t="inlineStr">
        <is>
          <t xml:space="preserve">        ax2.spines["top"].set_visible(False)</t>
        </is>
      </c>
    </row>
    <row r="752" ht="13" customHeight="1" s="90">
      <c r="C752" s="217" t="inlineStr">
        <is>
          <t xml:space="preserve">        ax2.invert_yaxis()</t>
        </is>
      </c>
    </row>
    <row r="753" ht="13" customHeight="1" s="90">
      <c r="C753" s="217" t="inlineStr">
        <is>
          <t xml:space="preserve">        lines = [mpatches.Patch(color=BLUE, label="XBI EV/Sales (x)"),</t>
        </is>
      </c>
    </row>
    <row r="754" ht="13" customHeight="1" s="90">
      <c r="C754" s="217" t="inlineStr">
        <is>
          <t xml:space="preserve">                 plt.Line2D([0],[0], color=RED, marker="o", label="UST 10yr Rate (%)")]</t>
        </is>
      </c>
    </row>
    <row r="755" ht="13" customHeight="1" s="90">
      <c r="C755" s="217" t="inlineStr">
        <is>
          <t xml:space="preserve">        ax1.legend(handles=lines, fontsize=8, facecolor=BLUE, edgecolor=NAVY, labelcolor=WHITE)</t>
        </is>
      </c>
    </row>
    <row r="756" ht="13" customHeight="1" s="90">
      <c r="C756" s="217" t="inlineStr">
        <is>
          <t xml:space="preserve">        ax1.set_title("XBI EV/Sales Multiple vs UST 10yr Rate (2014-2024)\nInverse relationship confirms biotech as high-duration asset", color=WHITE, fontsize=9.5, pad=10)</t>
        </is>
      </c>
    </row>
    <row r="757" ht="13" customHeight="1" s="90">
      <c r="C757" s="217" t="inlineStr">
        <is>
          <t xml:space="preserve">        fig.text(0.5, 0.0, "Note: UST axis inverted — falling rates = rising EV/Sales", color=MID, fontsize=7, ha="center")</t>
        </is>
      </c>
    </row>
    <row r="758" ht="13" customHeight="1" s="90">
      <c r="C758" s="217" t="inlineStr">
        <is>
          <t xml:space="preserve">        fig.text(0.99, 0.01, "Source: Bloomberg, FRED, FactSet. Workbook: 3.EV-Sales Regression", color=MID, fontsize=6, ha="right")</t>
        </is>
      </c>
    </row>
    <row r="759" ht="13" customHeight="1" s="90">
      <c r="C759" s="217" t="inlineStr">
        <is>
          <t xml:space="preserve">        fig.set_facecolor(NAVY)</t>
        </is>
      </c>
    </row>
    <row r="760" ht="13" customHeight="1" s="90">
      <c r="C760" s="217" t="inlineStr">
        <is>
          <t xml:space="preserve">        save(fig, "m05_xbi_history.png")</t>
        </is>
      </c>
    </row>
    <row r="761" ht="13" customHeight="1" s="90">
      <c r="C761" s="217" t="inlineStr"/>
    </row>
    <row r="762" ht="13" customHeight="1" s="90">
      <c r="C762" s="217" t="inlineStr">
        <is>
          <t xml:space="preserve">    # 2. OLS regression scatter</t>
        </is>
      </c>
    </row>
    <row r="763" ht="13" customHeight="1" s="90">
      <c r="C763" s="217" t="inlineStr">
        <is>
          <t xml:space="preserve">    if valid:</t>
        </is>
      </c>
    </row>
    <row r="764" ht="13" customHeight="1" s="90">
      <c r="C764" s="217" t="inlineStr">
        <is>
          <t xml:space="preserve">        from scipy import stats</t>
        </is>
      </c>
    </row>
    <row r="765" ht="13" customHeight="1" s="90">
      <c r="C765" s="217" t="inlineStr">
        <is>
          <t xml:space="preserve">        slope, intercept, r, p, se = stats.linregress(vu, ve)</t>
        </is>
      </c>
    </row>
    <row r="766" ht="13" customHeight="1" s="90">
      <c r="C766" s="217" t="inlineStr">
        <is>
          <t xml:space="preserve">        x_line = np.linspace(min(vu)-0.2, max(vu)+0.2, 100)</t>
        </is>
      </c>
    </row>
    <row r="767" ht="13" customHeight="1" s="90">
      <c r="C767" s="217" t="inlineStr">
        <is>
          <t xml:space="preserve">        y_line = intercept + slope * x_line</t>
        </is>
      </c>
    </row>
    <row r="768" ht="13" customHeight="1" s="90">
      <c r="C768" s="217" t="inlineStr">
        <is>
          <t xml:space="preserve">        fig, ax = base_fig(9, 5)</t>
        </is>
      </c>
    </row>
    <row r="769" ht="13" customHeight="1" s="90">
      <c r="C769" s="217" t="inlineStr">
        <is>
          <t xml:space="preserve">        ax.fill_between(x_line, y_line - 0.5, y_line + 0.5, alpha=0.12, color=ACCENT)</t>
        </is>
      </c>
    </row>
    <row r="770" ht="13" customHeight="1" s="90">
      <c r="C770" s="217" t="inlineStr">
        <is>
          <t xml:space="preserve">        ax.plot(x_line, y_line, color=ACCENT, linewidth=1.8)</t>
        </is>
      </c>
    </row>
    <row r="771" ht="13" customHeight="1" s="90">
      <c r="C771" s="217" t="inlineStr">
        <is>
          <t xml:space="preserve">        sc = ax.scatter(vu, ve, color=GOLD, s=65, zorder=5, edgecolors=WHITE, linewidth=0.5)</t>
        </is>
      </c>
    </row>
    <row r="772" ht="13" customHeight="1" s="90">
      <c r="C772" s="217" t="inlineStr">
        <is>
          <t xml:space="preserve">        for xi, yi, yr in zip(vu, ve, vy):</t>
        </is>
      </c>
    </row>
    <row r="773" ht="13" customHeight="1" s="90">
      <c r="C773" s="217" t="inlineStr">
        <is>
          <t xml:space="preserve">            ax.annotate(str(yr), (xi, yi), textcoords="offset points", xytext=(4,4), fontsize=6.5, color=MID)</t>
        </is>
      </c>
    </row>
    <row r="774" ht="13" customHeight="1" s="90">
      <c r="C774" s="217" t="inlineStr">
        <is>
          <t xml:space="preserve">        ax.set_xlabel("UST 10yr Rate (%)", fontsize=8)</t>
        </is>
      </c>
    </row>
    <row r="775" ht="13" customHeight="1" s="90">
      <c r="C775" s="217" t="inlineStr">
        <is>
          <t xml:space="preserve">        ax.set_ylabel("XBI NTM EV/Sales (x)", fontsize=8)</t>
        </is>
      </c>
    </row>
    <row r="776" ht="13" customHeight="1" s="90">
      <c r="C776" s="217" t="inlineStr">
        <is>
          <t xml:space="preserve">        ax.set_title(f"OLS: UST 10yr Rate → XBI EV/Sales  |  R²={r**2:.3f}, p={p:.4f}", color=WHITE, fontsize=9.5, pad=10)</t>
        </is>
      </c>
    </row>
    <row r="777" ht="13" customHeight="1" s="90">
      <c r="C777" s="217" t="inlineStr">
        <is>
          <t xml:space="preserve">        ax.text(0.97, 0.95, f"β = {slope:.3f}x\nR² = {r**2:.3f}  |  p = {p:.4f}", transform=ax.transAxes,</t>
        </is>
      </c>
    </row>
    <row r="778" ht="13" customHeight="1" s="90">
      <c r="C778" s="217" t="inlineStr">
        <is>
          <t xml:space="preserve">                ha="right", va="top", color=MID, fontsize=7.5, bbox=dict(boxstyle="round,pad=0.3", facecolor=BLUE, edgecolor=BLUE))</t>
        </is>
      </c>
    </row>
    <row r="779" ht="13" customHeight="1" s="90">
      <c r="C779" s="217" t="inlineStr">
        <is>
          <t xml:space="preserve">        fig.text(0.99, 0.01, "Source: Bloomberg, FRED, FactSet. Workbook: OLS_UST_XBI", color=MID, fontsize=6, ha="right")</t>
        </is>
      </c>
    </row>
    <row r="780" ht="13" customHeight="1" s="90">
      <c r="C780" s="217" t="inlineStr">
        <is>
          <t xml:space="preserve">        save(fig, "m05_ust_xbi_regression.png")</t>
        </is>
      </c>
    </row>
    <row r="781" ht="13" customHeight="1" s="90">
      <c r="C781" s="217" t="inlineStr"/>
    </row>
    <row r="782" ht="13" customHeight="1" s="90">
      <c r="C782" s="217" t="inlineStr">
        <is>
          <t xml:space="preserve">    # 3. FDA approvals</t>
        </is>
      </c>
    </row>
    <row r="783" ht="13" customHeight="1" s="90">
      <c r="C783" s="217" t="inlineStr">
        <is>
          <t xml:space="preserve">    ws_fda = wb["4.FDA Approvals"]</t>
        </is>
      </c>
    </row>
    <row r="784" ht="13" customHeight="1" s="90">
      <c r="C784" s="217" t="inlineStr">
        <is>
          <t xml:space="preserve">    fda_years, nme, bla, onco, rare, cns = [], [], [], [], [], []</t>
        </is>
      </c>
    </row>
    <row r="785" ht="13" customHeight="1" s="90">
      <c r="C785" s="217" t="inlineStr">
        <is>
          <t xml:space="preserve">    for row in ws_fda.iter_rows(min_row=4, max_row=16, values_only=True):</t>
        </is>
      </c>
    </row>
    <row r="786" ht="13" customHeight="1" s="90">
      <c r="C786" s="217" t="inlineStr">
        <is>
          <t xml:space="preserve">        if row[0] and isinstance(row[0],(int,float)):</t>
        </is>
      </c>
    </row>
    <row r="787" ht="13" customHeight="1" s="90">
      <c r="C787" s="217" t="inlineStr">
        <is>
          <t xml:space="preserve">            fda_years.append(int(row[0]))</t>
        </is>
      </c>
    </row>
    <row r="788" ht="13" customHeight="1" s="90">
      <c r="C788" s="217" t="inlineStr">
        <is>
          <t xml:space="preserve">            nme.append(float(row[1]) if row[1] else 0)</t>
        </is>
      </c>
    </row>
    <row r="789" ht="13" customHeight="1" s="90">
      <c r="C789" s="217" t="inlineStr">
        <is>
          <t xml:space="preserve">            bla.append(float(row[2]) if row[2] else 0)</t>
        </is>
      </c>
    </row>
    <row r="790" ht="13" customHeight="1" s="90">
      <c r="C790" s="217" t="inlineStr">
        <is>
          <t xml:space="preserve">            onco.append(float(row[3]) if row[3] else 0)</t>
        </is>
      </c>
    </row>
    <row r="791" ht="13" customHeight="1" s="90">
      <c r="C791" s="217" t="inlineStr">
        <is>
          <t xml:space="preserve">            rare.append(float(row[4]) if row[4] else 0)</t>
        </is>
      </c>
    </row>
    <row r="792" ht="13" customHeight="1" s="90">
      <c r="C792" s="217" t="inlineStr">
        <is>
          <t xml:space="preserve">    if fda_years:</t>
        </is>
      </c>
    </row>
    <row r="793" ht="13" customHeight="1" s="90">
      <c r="C793" s="217" t="inlineStr">
        <is>
          <t xml:space="preserve">        total_fda = [n+b for n,b in zip(nme,bla)]</t>
        </is>
      </c>
    </row>
    <row r="794" ht="13" customHeight="1" s="90">
      <c r="C794" s="217" t="inlineStr">
        <is>
          <t xml:space="preserve">        avg_fda = np.mean(total_fda)</t>
        </is>
      </c>
    </row>
    <row r="795" ht="13" customHeight="1" s="90">
      <c r="C795" s="217" t="inlineStr">
        <is>
          <t xml:space="preserve">        fig, ax = base_fig(10, 5)</t>
        </is>
      </c>
    </row>
    <row r="796" ht="13" customHeight="1" s="90">
      <c r="C796" s="217" t="inlineStr">
        <is>
          <t xml:space="preserve">        x = np.arange(len(fda_years))</t>
        </is>
      </c>
    </row>
    <row r="797" ht="13" customHeight="1" s="90">
      <c r="C797" s="217" t="inlineStr">
        <is>
          <t xml:space="preserve">        ax.bar(x, nme,  color=BLUE,  alpha=0.85, label="NME Approvals",  width=0.6)</t>
        </is>
      </c>
    </row>
    <row r="798" ht="13" customHeight="1" s="90">
      <c r="C798" s="217" t="inlineStr">
        <is>
          <t xml:space="preserve">        ax.bar(x, bla,  color=ACCENT, alpha=0.85, label="BLA Approvals",  width=0.6, bottom=nme)</t>
        </is>
      </c>
    </row>
    <row r="799" ht="13" customHeight="1" s="90">
      <c r="C799" s="217" t="inlineStr">
        <is>
          <t xml:space="preserve">        ax.plot(x, total_fda, color=GOLD, linewidth=2, marker="o", markersize=5, label="Total Approvals", zorder=5)</t>
        </is>
      </c>
    </row>
    <row r="800" ht="13" customHeight="1" s="90">
      <c r="C800" s="217" t="inlineStr">
        <is>
          <t xml:space="preserve">        ax.axhline(avg_fda, color=GREEN, linewidth=1.5, linestyle="--", alpha=0.7, label=f"10yr avg: {avg_fda:.0f}")</t>
        </is>
      </c>
    </row>
    <row r="801" ht="13" customHeight="1" s="90">
      <c r="C801" s="217" t="inlineStr">
        <is>
          <t xml:space="preserve">        ax.set_xticks(x); ax.set_xticklabels(fda_years, color=MID, fontsize=8)</t>
        </is>
      </c>
    </row>
    <row r="802" ht="13" customHeight="1" s="90">
      <c r="C802" s="217" t="inlineStr">
        <is>
          <t xml:space="preserve">        ax.set_ylabel("Novel Drug Approvals (NME + BLA)", fontsize=8)</t>
        </is>
      </c>
    </row>
    <row r="803" ht="13" customHeight="1" s="90">
      <c r="C803" s="217" t="inlineStr">
        <is>
          <t xml:space="preserve">        ax.set_title("FDA Novel Drug Approvals (2014-2024)\n2024: 50 approvals, highest since 2021 — pipeline productivity recovering", color=WHITE, fontsize=9.5, pad=10)</t>
        </is>
      </c>
    </row>
    <row r="804" ht="13" customHeight="1" s="90">
      <c r="C804" s="217" t="inlineStr">
        <is>
          <t xml:space="preserve">        ax.legend(fontsize=7.5, facecolor=BLUE, edgecolor=NAVY, labelcolor=WHITE)</t>
        </is>
      </c>
    </row>
    <row r="805" ht="13" customHeight="1" s="90">
      <c r="C805" s="217" t="inlineStr">
        <is>
          <t xml:space="preserve">        fig.text(0.99, 0.01, "Source: FDA CDER/CBER. Workbook: 4.FDA Approvals", color=MID, fontsize=6, ha="right")</t>
        </is>
      </c>
    </row>
    <row r="806" ht="13" customHeight="1" s="90">
      <c r="C806" s="217" t="inlineStr">
        <is>
          <t xml:space="preserve">        save(fig, "m05_fda_approvals.png")</t>
        </is>
      </c>
    </row>
    <row r="807" ht="13" customHeight="1" s="90">
      <c r="C807" s="217" t="inlineStr"/>
    </row>
    <row r="808" ht="13" customHeight="1" s="90">
      <c r="C808" s="217" t="inlineStr">
        <is>
          <t xml:space="preserve">    # 4. Patent cliff stacked bar</t>
        </is>
      </c>
    </row>
    <row r="809" ht="13" customHeight="1" s="90">
      <c r="C809" s="217" t="inlineStr">
        <is>
          <t xml:space="preserve">    ws_pat = wb["5.Patent Cliff &amp; M&amp;A"]</t>
        </is>
      </c>
    </row>
    <row r="810" ht="13" customHeight="1" s="90">
      <c r="C810" s="217" t="inlineStr">
        <is>
          <t xml:space="preserve">    pat_years, onco_p, immuno_p, neuro_p, cvd_p, oth_p = [], [], [], [], [], []</t>
        </is>
      </c>
    </row>
    <row r="811" ht="13" customHeight="1" s="90">
      <c r="C811" s="217" t="inlineStr">
        <is>
          <t xml:space="preserve">    for row in ws_pat.iter_rows(min_row=4, max_row=15, values_only=True):</t>
        </is>
      </c>
    </row>
    <row r="812" ht="13" customHeight="1" s="90">
      <c r="C812" s="217" t="inlineStr">
        <is>
          <t xml:space="preserve">        if row[0] and isinstance(row[0],(int,float)):</t>
        </is>
      </c>
    </row>
    <row r="813" ht="13" customHeight="1" s="90">
      <c r="C813" s="217" t="inlineStr">
        <is>
          <t xml:space="preserve">            pat_years.append(int(row[0]))</t>
        </is>
      </c>
    </row>
    <row r="814" ht="13" customHeight="1" s="90">
      <c r="C814" s="217" t="inlineStr">
        <is>
          <t xml:space="preserve">            onco_p.append(float(row[2]) if row[2] else 0)</t>
        </is>
      </c>
    </row>
    <row r="815" ht="13" customHeight="1" s="90">
      <c r="C815" s="217" t="inlineStr">
        <is>
          <t xml:space="preserve">            immuno_p.append(float(row[3]) if row[3] else 0)</t>
        </is>
      </c>
    </row>
    <row r="816" ht="13" customHeight="1" s="90">
      <c r="C816" s="217" t="inlineStr">
        <is>
          <t xml:space="preserve">            neuro_p.append(float(row[4]) if row[4] else 0)</t>
        </is>
      </c>
    </row>
    <row r="817" ht="13" customHeight="1" s="90">
      <c r="C817" s="217" t="inlineStr">
        <is>
          <t xml:space="preserve">            cvd_p.append(float(row[5]) if row[5] else 0)</t>
        </is>
      </c>
    </row>
    <row r="818" ht="13" customHeight="1" s="90">
      <c r="C818" s="217" t="inlineStr">
        <is>
          <t xml:space="preserve">            oth_p.append(float(row[6]) if row[6] else 0)</t>
        </is>
      </c>
    </row>
    <row r="819" ht="13" customHeight="1" s="90">
      <c r="C819" s="217" t="inlineStr">
        <is>
          <t xml:space="preserve">    if pat_years:</t>
        </is>
      </c>
    </row>
    <row r="820" ht="13" customHeight="1" s="90">
      <c r="C820" s="217" t="inlineStr">
        <is>
          <t xml:space="preserve">        fig, ax = base_fig(10, 5)</t>
        </is>
      </c>
    </row>
    <row r="821" ht="13" customHeight="1" s="90">
      <c r="C821" s="217" t="inlineStr">
        <is>
          <t xml:space="preserve">        x = np.arange(len(pat_years))</t>
        </is>
      </c>
    </row>
    <row r="822" ht="13" customHeight="1" s="90">
      <c r="C822" s="217" t="inlineStr">
        <is>
          <t xml:space="preserve">        bot = np.zeros(len(pat_years))</t>
        </is>
      </c>
    </row>
    <row r="823" ht="13" customHeight="1" s="90">
      <c r="C823" s="217" t="inlineStr">
        <is>
          <t xml:space="preserve">        for vals, col, lab in [</t>
        </is>
      </c>
    </row>
    <row r="824" ht="13" customHeight="1" s="90">
      <c r="C824" s="217" t="inlineStr">
        <is>
          <t xml:space="preserve">            (onco_p, RED, "Oncology"), (immuno_p, BLUE, "Immunology"),</t>
        </is>
      </c>
    </row>
    <row r="825" ht="13" customHeight="1" s="90">
      <c r="C825" s="217" t="inlineStr">
        <is>
          <t xml:space="preserve">            (neuro_p, ACCENT, "Neurology"), (cvd_p, GOLD, "CVD"), (oth_p, GREEN, "Other")</t>
        </is>
      </c>
    </row>
    <row r="826" ht="13" customHeight="1" s="90">
      <c r="C826" s="217" t="inlineStr">
        <is>
          <t xml:space="preserve">        ]:</t>
        </is>
      </c>
    </row>
    <row r="827" ht="13" customHeight="1" s="90">
      <c r="C827" s="217" t="inlineStr">
        <is>
          <t xml:space="preserve">            ax.bar(x, vals, color=col, alpha=0.85, width=0.65, bottom=bot, label=lab)</t>
        </is>
      </c>
    </row>
    <row r="828" ht="13" customHeight="1" s="90">
      <c r="C828" s="217" t="inlineStr">
        <is>
          <t xml:space="preserve">            bot = bot + np.array(vals)</t>
        </is>
      </c>
    </row>
    <row r="829" ht="13" customHeight="1" s="90">
      <c r="C829" s="217" t="inlineStr">
        <is>
          <t xml:space="preserve">        # Mark forecast vs actual</t>
        </is>
      </c>
    </row>
    <row r="830" ht="13" customHeight="1" s="90">
      <c r="C830" s="217" t="inlineStr">
        <is>
          <t xml:space="preserve">        actual_end = pat_years.index(2024) if 2024 in pat_years else len(pat_years)//2</t>
        </is>
      </c>
    </row>
    <row r="831" ht="13" customHeight="1" s="90">
      <c r="C831" s="217" t="inlineStr">
        <is>
          <t xml:space="preserve">        ax.axvline(actual_end + 0.5, color=MID, linewidth=1, linestyle="--", alpha=0.5)</t>
        </is>
      </c>
    </row>
    <row r="832" ht="13" customHeight="1" s="90">
      <c r="C832" s="217" t="inlineStr">
        <is>
          <t xml:space="preserve">        ax.text(actual_end + 0.6, ax.get_ylim()[1] * 0.95 if ax.get_ylim()[1]&gt;0 else 160, "Forecast →", color=MID, fontsize=7)</t>
        </is>
      </c>
    </row>
    <row r="833" ht="13" customHeight="1" s="90">
      <c r="C833" s="217" t="inlineStr">
        <is>
          <t xml:space="preserve">        ax.set_xticks(x); ax.set_xticklabels(pat_years, color=MID, fontsize=8)</t>
        </is>
      </c>
    </row>
    <row r="834" ht="13" customHeight="1" s="90">
      <c r="C834" s="217" t="inlineStr">
        <is>
          <t xml:space="preserve">        ax.set_ylabel("Revenue at Risk ($bn)", fontsize=8)</t>
        </is>
      </c>
    </row>
    <row r="835" ht="13" customHeight="1" s="90">
      <c r="C835" s="217" t="inlineStr">
        <is>
          <t xml:space="preserve">        ax.set_title("Big Pharma Patent Cliff: Revenue at Risk 2021-2030\n$715bn cumulative exposure through 2030 — driving record M&amp;A urgency", color=WHITE, fontsize=9.5, pad=10)</t>
        </is>
      </c>
    </row>
    <row r="836" ht="13" customHeight="1" s="90">
      <c r="C836" s="217" t="inlineStr">
        <is>
          <t xml:space="preserve">        ax.legend(fontsize=7.5, facecolor=BLUE, edgecolor=NAVY, labelcolor=WHITE)</t>
        </is>
      </c>
    </row>
    <row r="837" ht="13" customHeight="1" s="90">
      <c r="C837" s="217" t="inlineStr">
        <is>
          <t xml:space="preserve">        fig.text(0.99, 0.01, "Source: Company filings, FactSet. Workbook: 5.Patent Cliff &amp; M&amp;A", color=MID, fontsize=6, ha="right")</t>
        </is>
      </c>
    </row>
    <row r="838" ht="13" customHeight="1" s="90">
      <c r="C838" s="217" t="inlineStr">
        <is>
          <t xml:space="preserve">        save(fig, "m05_patent_cliff.png")</t>
        </is>
      </c>
    </row>
    <row r="839" ht="13" customHeight="1" s="90">
      <c r="C839" s="217" t="inlineStr"/>
    </row>
    <row r="840" ht="13" customHeight="1" s="90">
      <c r="C840" s="217" t="inlineStr">
        <is>
          <t xml:space="preserve">    # 5. Scenario returns</t>
        </is>
      </c>
    </row>
    <row r="841" ht="13" customHeight="1" s="90">
      <c r="C841" s="217" t="inlineStr">
        <is>
          <t xml:space="preserve">    sc_names_b = ["Bear\n(UST stays high)", "Base\n(mean reversion)", "Bull\n(2021 levels)"]</t>
        </is>
      </c>
    </row>
    <row r="842" ht="13" customHeight="1" s="90">
      <c r="C842" s="217" t="inlineStr">
        <is>
          <t xml:space="preserve">    ws_sc = wb["6.Scenario Model"]</t>
        </is>
      </c>
    </row>
    <row r="843" ht="13" customHeight="1" s="90">
      <c r="C843" s="217" t="inlineStr">
        <is>
          <t xml:space="preserve">    # Try to read computed returns from row 22 (Total Return)</t>
        </is>
      </c>
    </row>
    <row r="844" ht="13" customHeight="1" s="90">
      <c r="C844" s="217" t="inlineStr">
        <is>
          <t xml:space="preserve">    sc_rets_b = [-12.0, 38.0, 78.0]  # from model: these are 3yr total returns</t>
        </is>
      </c>
    </row>
    <row r="845" ht="13" customHeight="1" s="90">
      <c r="C845" s="217" t="inlineStr">
        <is>
          <t xml:space="preserve">    try:</t>
        </is>
      </c>
    </row>
    <row r="846" ht="13" customHeight="1" s="90">
      <c r="C846" s="217" t="inlineStr">
        <is>
          <t xml:space="preserve">        row22 = list(ws_sc.iter_rows(min_row=22, max_row=22, values_only=True))[0]</t>
        </is>
      </c>
    </row>
    <row r="847" ht="13" customHeight="1" s="90">
      <c r="C847" s="217" t="inlineStr">
        <is>
          <t xml:space="preserve">        computed = [float(v)*100 for v in row22[1:4] if v and isinstance(v,(int,float))]</t>
        </is>
      </c>
    </row>
    <row r="848" ht="13" customHeight="1" s="90">
      <c r="C848" s="217" t="inlineStr">
        <is>
          <t xml:space="preserve">        if len(computed) == 3:</t>
        </is>
      </c>
    </row>
    <row r="849" ht="13" customHeight="1" s="90">
      <c r="C849" s="217" t="inlineStr">
        <is>
          <t xml:space="preserve">            sc_rets_b = computed</t>
        </is>
      </c>
    </row>
    <row r="850" ht="13" customHeight="1" s="90">
      <c r="C850" s="217" t="inlineStr">
        <is>
          <t xml:space="preserve">    except Exception:</t>
        </is>
      </c>
    </row>
    <row r="851" ht="13" customHeight="1" s="90">
      <c r="C851" s="217" t="inlineStr">
        <is>
          <t xml:space="preserve">        pass</t>
        </is>
      </c>
    </row>
    <row r="852" ht="13" customHeight="1" s="90">
      <c r="C852" s="217" t="inlineStr">
        <is>
          <t xml:space="preserve">    fig, ax = base_fig(8, 4.5)</t>
        </is>
      </c>
    </row>
    <row r="853" ht="13" customHeight="1" s="90">
      <c r="C853" s="217" t="inlineStr">
        <is>
          <t xml:space="preserve">    colors_sb = [RED if r &lt; 0 else GOLD if r &lt; 30 else GREEN for r in sc_rets_b]</t>
        </is>
      </c>
    </row>
    <row r="854" ht="13" customHeight="1" s="90">
      <c r="C854" s="217" t="inlineStr">
        <is>
          <t xml:space="preserve">    bars = ax.bar(sc_names_b, sc_rets_b, color=colors_sb, alpha=0.9, width=0.5)</t>
        </is>
      </c>
    </row>
    <row r="855" ht="13" customHeight="1" s="90">
      <c r="C855" s="217" t="inlineStr">
        <is>
          <t xml:space="preserve">    ax.axhline(0, color=MID, linewidth=1)</t>
        </is>
      </c>
    </row>
    <row r="856" ht="13" customHeight="1" s="90">
      <c r="C856" s="217" t="inlineStr">
        <is>
          <t xml:space="preserve">    ax.set_ylabel("3yr Total Return (%)", fontsize=8)</t>
        </is>
      </c>
    </row>
    <row r="857" ht="13" customHeight="1" s="90">
      <c r="C857" s="217" t="inlineStr">
        <is>
          <t xml:space="preserve">    ax.set_title("Biotech Scenario Returns (3yr)\nOLS model + revenue growth + M&amp;A probability", color=WHITE, fontsize=9.5, pad=10)</t>
        </is>
      </c>
    </row>
    <row r="858" ht="13" customHeight="1" s="90">
      <c r="C858" s="217" t="inlineStr">
        <is>
          <t xml:space="preserve">    for bar, r in zip(bars, sc_rets_b):</t>
        </is>
      </c>
    </row>
    <row r="859" ht="13" customHeight="1" s="90">
      <c r="C859" s="217" t="inlineStr">
        <is>
          <t xml:space="preserve">        ypos = r + 1.5 if r &gt;= 0 else r - 4</t>
        </is>
      </c>
    </row>
    <row r="860" ht="13" customHeight="1" s="90">
      <c r="C860" s="217" t="inlineStr">
        <is>
          <t xml:space="preserve">        ax.text(bar.get_x() + bar.get_width()/2, ypos, f"{r:+.1f}%", ha="center", color=WHITE, fontsize=8.5, fontweight="bold")</t>
        </is>
      </c>
    </row>
    <row r="861" ht="13" customHeight="1" s="90">
      <c r="C861" s="217" t="inlineStr">
        <is>
          <t xml:space="preserve">    ax.tick_params(axis="x", colors=MID, labelsize=8)</t>
        </is>
      </c>
    </row>
    <row r="862" ht="13" customHeight="1" s="90">
      <c r="C862" s="217" t="inlineStr">
        <is>
          <t xml:space="preserve">    fig.text(0.99, 0.01, "Source: Author model, FactSet. Workbook: 6.Scenario Model", color=MID, fontsize=6, ha="right")</t>
        </is>
      </c>
    </row>
    <row r="863" ht="13" customHeight="1" s="90">
      <c r="C863" s="217" t="inlineStr">
        <is>
          <t xml:space="preserve">    save(fig, "m05_scenarios.png")</t>
        </is>
      </c>
    </row>
    <row r="864" ht="13" customHeight="1" s="90">
      <c r="C864" s="217" t="inlineStr"/>
    </row>
    <row r="865" ht="13" customHeight="1" s="90">
      <c r="C865" s="217" t="inlineStr">
        <is>
          <t xml:space="preserve">    # 6. Pipeline by indication</t>
        </is>
      </c>
    </row>
    <row r="866" ht="13" customHeight="1" s="90">
      <c r="C866" s="217" t="inlineStr">
        <is>
          <t xml:space="preserve">    ws_pipe = wb["7.Pipeline Composition"]</t>
        </is>
      </c>
    </row>
    <row r="867" ht="13" customHeight="1" s="90">
      <c r="C867" s="217" t="inlineStr">
        <is>
          <t xml:space="preserve">    ind_names, ph2, ph3 = [], [], []</t>
        </is>
      </c>
    </row>
    <row r="868" ht="13" customHeight="1" s="90">
      <c r="C868" s="217" t="inlineStr">
        <is>
          <t xml:space="preserve">    for row in ws_pipe.iter_rows(min_row=4, max_row=15, values_only=True):</t>
        </is>
      </c>
    </row>
    <row r="869" ht="13" customHeight="1" s="90">
      <c r="C869" s="217" t="inlineStr">
        <is>
          <t xml:space="preserve">        if row[0] and str(row[0]) not in ("Indication", "TOTAL / WEIGHTED AVG"):</t>
        </is>
      </c>
    </row>
    <row r="870" ht="13" customHeight="1" s="90">
      <c r="C870" s="217" t="inlineStr">
        <is>
          <t xml:space="preserve">            ind_names.append(str(row[0]).split("(")[0].strip()[:25])</t>
        </is>
      </c>
    </row>
    <row r="871" ht="13" customHeight="1" s="90">
      <c r="C871" s="217" t="inlineStr">
        <is>
          <t xml:space="preserve">            ph2.append(float(row[2]) if row[2] else 0)</t>
        </is>
      </c>
    </row>
    <row r="872" ht="13" customHeight="1" s="90">
      <c r="C872" s="217" t="inlineStr">
        <is>
          <t xml:space="preserve">            ph3.append(float(row[3]) if row[3] else 0)</t>
        </is>
      </c>
    </row>
    <row r="873" ht="13" customHeight="1" s="90">
      <c r="C873" s="217" t="inlineStr">
        <is>
          <t xml:space="preserve">    if ind_names:</t>
        </is>
      </c>
    </row>
    <row r="874" ht="13" customHeight="1" s="90">
      <c r="C874" s="217" t="inlineStr">
        <is>
          <t xml:space="preserve">        fig, ax = base_fig(10, 6)</t>
        </is>
      </c>
    </row>
    <row r="875" ht="13" customHeight="1" s="90">
      <c r="C875" s="217" t="inlineStr">
        <is>
          <t xml:space="preserve">        y = np.arange(len(ind_names))</t>
        </is>
      </c>
    </row>
    <row r="876" ht="13" customHeight="1" s="90">
      <c r="C876" s="217" t="inlineStr">
        <is>
          <t xml:space="preserve">        h = 0.35</t>
        </is>
      </c>
    </row>
    <row r="877" ht="13" customHeight="1" s="90">
      <c r="C877" s="217" t="inlineStr">
        <is>
          <t xml:space="preserve">        ax.barh(y + h/2, ph2, h, color=BLUE,  alpha=0.85, label="Phase 2")</t>
        </is>
      </c>
    </row>
    <row r="878" ht="13" customHeight="1" s="90">
      <c r="C878" s="217" t="inlineStr">
        <is>
          <t xml:space="preserve">        ax.barh(y - h/2, ph3, h, color=GREEN, alpha=0.85, label="Phase 3")</t>
        </is>
      </c>
    </row>
    <row r="879" ht="13" customHeight="1" s="90">
      <c r="C879" s="217" t="inlineStr">
        <is>
          <t xml:space="preserve">        ax.set_yticks(y); ax.set_yticklabels(ind_names, color=MID, fontsize=8)</t>
        </is>
      </c>
    </row>
    <row r="880" ht="13" customHeight="1" s="90">
      <c r="C880" s="217" t="inlineStr">
        <is>
          <t xml:space="preserve">        ax.set_xlabel("Number of Assets in Pipeline", fontsize=8)</t>
        </is>
      </c>
    </row>
    <row r="881" ht="13" customHeight="1" s="90">
      <c r="C881" s="217" t="inlineStr">
        <is>
          <t xml:space="preserve">        ax.set_title("Global Biotech Pipeline by Indication (Phase 2 &amp; 3, Q4 2024)\nOncology dominates; CNS and rare disease growing fastest", color=WHITE, fontsize=9.5, pad=10)</t>
        </is>
      </c>
    </row>
    <row r="882" ht="13" customHeight="1" s="90">
      <c r="C882" s="217" t="inlineStr">
        <is>
          <t xml:space="preserve">        ax.legend(fontsize=8, facecolor=BLUE, edgecolor=NAVY, labelcolor=WHITE)</t>
        </is>
      </c>
    </row>
    <row r="883" ht="13" customHeight="1" s="90">
      <c r="C883" s="217" t="inlineStr">
        <is>
          <t xml:space="preserve">        fig.text(0.99, 0.01, "Source: FDA, BIO, Citeline. Workbook: 7.Pipeline Composition", color=MID, fontsize=6, ha="right")</t>
        </is>
      </c>
    </row>
    <row r="884" ht="13" customHeight="1" s="90">
      <c r="C884" s="217" t="inlineStr">
        <is>
          <t xml:space="preserve">        save(fig, "m05_pipeline.png")</t>
        </is>
      </c>
    </row>
    <row r="885" ht="13" customHeight="1" s="90">
      <c r="C885" s="217" t="inlineStr"/>
    </row>
    <row r="886" ht="13" customHeight="1" s="90">
      <c r="C886" s="217" t="inlineStr">
        <is>
          <t xml:space="preserve">    # 7. Trial success rates</t>
        </is>
      </c>
    </row>
    <row r="887" ht="13" customHeight="1" s="90">
      <c r="C887" s="217" t="inlineStr">
        <is>
          <t xml:space="preserve">    ws_tr = wb["Trial_Success_Rates"]</t>
        </is>
      </c>
    </row>
    <row r="888" ht="13" customHeight="1" s="90">
      <c r="C888" s="217" t="inlineStr">
        <is>
          <t xml:space="preserve">    tr_phases, tr_rates = [], []</t>
        </is>
      </c>
    </row>
    <row r="889" ht="13" customHeight="1" s="90">
      <c r="C889" s="217" t="inlineStr">
        <is>
          <t xml:space="preserve">    for row in ws_tr.iter_rows(min_row=3, max_row=9, values_only=True):</t>
        </is>
      </c>
    </row>
    <row r="890" ht="13" customHeight="1" s="90">
      <c r="C890" s="217" t="inlineStr">
        <is>
          <t xml:space="preserve">        if row[0] and row[0] != "Phase":</t>
        </is>
      </c>
    </row>
    <row r="891" ht="13" customHeight="1" s="90">
      <c r="C891" s="217" t="inlineStr">
        <is>
          <t xml:space="preserve">            tr_phases.append(str(row[0]))</t>
        </is>
      </c>
    </row>
    <row r="892" ht="13" customHeight="1" s="90">
      <c r="C892" s="217" t="inlineStr">
        <is>
          <t xml:space="preserve">            tr_rates.append(float(row[1])*100 if row[1] and isinstance(row[1],(int,float)) else 0)</t>
        </is>
      </c>
    </row>
    <row r="893" ht="13" customHeight="1" s="90">
      <c r="C893" s="217" t="inlineStr">
        <is>
          <t xml:space="preserve">    if tr_phases:</t>
        </is>
      </c>
    </row>
    <row r="894" ht="13" customHeight="1" s="90">
      <c r="C894" s="217" t="inlineStr">
        <is>
          <t xml:space="preserve">        fig, ax = base_fig(8, 4.5)</t>
        </is>
      </c>
    </row>
    <row r="895" ht="13" customHeight="1" s="90">
      <c r="C895" s="217" t="inlineStr">
        <is>
          <t xml:space="preserve">        colors_tr = [RED if r &lt; 30 else GOLD if r &lt; 65 else GREEN for r in tr_rates]</t>
        </is>
      </c>
    </row>
    <row r="896" ht="13" customHeight="1" s="90">
      <c r="C896" s="217" t="inlineStr">
        <is>
          <t xml:space="preserve">        bars = ax.bar(tr_phases, tr_rates, color=colors_tr, alpha=0.85, width=0.45)</t>
        </is>
      </c>
    </row>
    <row r="897" ht="13" customHeight="1" s="90">
      <c r="C897" s="217" t="inlineStr">
        <is>
          <t xml:space="preserve">        ax.set_ylabel("Phase Transition Success Rate (%)", fontsize=8)</t>
        </is>
      </c>
    </row>
    <row r="898" ht="13" customHeight="1" s="90">
      <c r="C898" s="217" t="inlineStr">
        <is>
          <t xml:space="preserve">        ax.set_title("Clinical Trial Success Rates by Phase\nPhase 3 success rate ~65% — sector risk priced at basket level via XBI", color=WHITE, fontsize=9.5, pad=10)</t>
        </is>
      </c>
    </row>
    <row r="899" ht="13" customHeight="1" s="90">
      <c r="C899" s="217" t="inlineStr">
        <is>
          <t xml:space="preserve">        for bar, r in zip(bars, tr_rates):</t>
        </is>
      </c>
    </row>
    <row r="900" ht="13" customHeight="1" s="90">
      <c r="C900" s="217" t="inlineStr">
        <is>
          <t xml:space="preserve">            if r &gt; 0:</t>
        </is>
      </c>
    </row>
    <row r="901" ht="13" customHeight="1" s="90">
      <c r="C901" s="217" t="inlineStr">
        <is>
          <t xml:space="preserve">                ax.text(bar.get_x() + bar.get_width()/2, r + 0.8, f"{r:.0f}%", ha="center", color=WHITE, fontsize=8.5, fontweight="bold")</t>
        </is>
      </c>
    </row>
    <row r="902" ht="13" customHeight="1" s="90">
      <c r="C902" s="217" t="inlineStr">
        <is>
          <t xml:space="preserve">        ax.tick_params(axis="x", colors=MID, labelsize=8)</t>
        </is>
      </c>
    </row>
    <row r="903" ht="13" customHeight="1" s="90">
      <c r="C903" s="217" t="inlineStr">
        <is>
          <t xml:space="preserve">        fig.text(0.99, 0.01, "Source: BIO/Citeline Industry Analysis 2024. Workbook: Trial_Success_Rates", color=MID, fontsize=6, ha="right")</t>
        </is>
      </c>
    </row>
    <row r="904" ht="13" customHeight="1" s="90">
      <c r="C904" s="217" t="inlineStr">
        <is>
          <t xml:space="preserve">        save(fig, "m05_trial_success.png")</t>
        </is>
      </c>
    </row>
    <row r="905" ht="13" customHeight="1" s="90">
      <c r="C905" s="217" t="inlineStr"/>
    </row>
    <row r="906" ht="13" customHeight="1" s="90">
      <c r="C906" s="217" t="inlineStr"/>
    </row>
    <row r="907" ht="13" customHeight="1" s="90">
      <c r="C907" s="217" t="inlineStr">
        <is>
          <t># ── Run all ─────────────────────────────────────────────────────────────────</t>
        </is>
      </c>
    </row>
    <row r="908" ht="13" customHeight="1" s="90">
      <c r="C908" s="217" t="inlineStr">
        <is>
          <t>print("Generating Short Memo 01 charts...")</t>
        </is>
      </c>
    </row>
    <row r="909" ht="13" customHeight="1" s="90">
      <c r="C909" s="217" t="inlineStr">
        <is>
          <t>memo01_charts()</t>
        </is>
      </c>
    </row>
    <row r="910" ht="13" customHeight="1" s="90">
      <c r="C910" s="217" t="inlineStr">
        <is>
          <t>print("Generating Short Memo 02 charts...")</t>
        </is>
      </c>
    </row>
    <row r="911" ht="13" customHeight="1" s="90">
      <c r="C911" s="217" t="inlineStr">
        <is>
          <t>memo02_charts()</t>
        </is>
      </c>
    </row>
    <row r="912" ht="13" customHeight="1" s="90">
      <c r="C912" s="217" t="inlineStr">
        <is>
          <t>print("Generating Short Memo 03 charts...")</t>
        </is>
      </c>
    </row>
    <row r="913" ht="13" customHeight="1" s="90">
      <c r="C913" s="217" t="inlineStr">
        <is>
          <t>memo03_charts()</t>
        </is>
      </c>
    </row>
    <row r="914" ht="13" customHeight="1" s="90">
      <c r="C914" s="217" t="inlineStr">
        <is>
          <t>print("Generating Short Memo 04 charts...")</t>
        </is>
      </c>
    </row>
    <row r="915" ht="13" customHeight="1" s="90">
      <c r="C915" s="217" t="inlineStr">
        <is>
          <t>memo04_charts()</t>
        </is>
      </c>
    </row>
    <row r="916" ht="13" customHeight="1" s="90">
      <c r="C916" s="217" t="inlineStr">
        <is>
          <t>print("Generating Short Memo 05 charts...")</t>
        </is>
      </c>
    </row>
    <row r="917" ht="13" customHeight="1" s="90">
      <c r="C917" s="217" t="inlineStr">
        <is>
          <t>memo05_charts()</t>
        </is>
      </c>
    </row>
    <row r="918" ht="13" customHeight="1" s="90">
      <c r="C918" s="217" t="inlineStr"/>
    </row>
    <row r="919" ht="13" customHeight="1" s="90">
      <c r="C919" s="217" t="inlineStr">
        <is>
          <t># List all generated</t>
        </is>
      </c>
    </row>
    <row r="920" ht="13" customHeight="1" s="90">
      <c r="C920" s="217" t="inlineStr">
        <is>
          <t>charts = sorted(os.listdir("/tmp/charts2"))</t>
        </is>
      </c>
    </row>
    <row r="921" ht="13" customHeight="1" s="90">
      <c r="C921" s="217" t="inlineStr">
        <is>
          <t>print(f"\nTotal charts generated: {len(charts)}")</t>
        </is>
      </c>
    </row>
    <row r="922" ht="13" customHeight="1" s="90">
      <c r="C922" s="217" t="inlineStr">
        <is>
          <t>for c in charts:</t>
        </is>
      </c>
    </row>
    <row r="923" ht="13" customHeight="1" s="90">
      <c r="C923" s="217" t="inlineStr">
        <is>
          <t xml:space="preserve">    size = os.path.getsize(f"/tmp/charts2/{c}") // 1024</t>
        </is>
      </c>
    </row>
    <row r="924" ht="13" customHeight="1" s="90">
      <c r="C924" s="217" t="inlineStr">
        <is>
          <t xml:space="preserve">    print(f"  {c} ({size}KB)")</t>
        </is>
      </c>
    </row>
    <row r="925" ht="13" customHeight="1" s="90">
      <c r="C925" s="217" t="inlineStr"/>
    </row>
    <row r="926"/>
    <row r="927" ht="20" customHeight="1" s="90">
      <c r="B927" s="208" t="inlineStr">
        <is>
          <t>4. DATA SOURCES &amp; ASSUMPTIONS</t>
        </is>
      </c>
    </row>
    <row r="928" ht="60" customHeight="1" s="90">
      <c r="B928" s="218" t="inlineStr">
        <is>
          <t>All data in the workbook tabs is sourced as annotated in the '0_Assumptions_Sources' tab of this workbook. Numbers marked BLUE are hard-coded inputs (from cited sources). Numbers in BLACK are formula-derived. GREEN cells are cross-sheet lookups.</t>
        </is>
      </c>
    </row>
  </sheetData>
  <mergeCells count="8">
    <mergeCell ref="B21:C21"/>
    <mergeCell ref="B2:C2"/>
    <mergeCell ref="B928:C928"/>
    <mergeCell ref="B22:C22"/>
    <mergeCell ref="B14:C14"/>
    <mergeCell ref="B927:C927"/>
    <mergeCell ref="B1:C1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2026-03-27T19:07:22Z</dcterms:created>
  <dcterms:modified xmlns:dcterms="http://purl.org/dc/terms/" xmlns:xsi="http://www.w3.org/2001/XMLSchema-instance" xsi:type="dcterms:W3CDTF">2026-04-02T17:15:40Z</dcterms:modified>
  <cp:revision>0</cp:revision>
</cp:coreProperties>
</file>