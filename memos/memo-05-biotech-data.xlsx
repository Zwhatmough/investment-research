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Overview" sheetId="1" state="visible" r:id="rId3"/>
    <sheet name="2.Macro Thesis" sheetId="2" state="visible" r:id="rId4"/>
    <sheet name="3.EV-Sales Regression" sheetId="3" state="visible" r:id="rId5"/>
    <sheet name="4.FDA Approvals" sheetId="4" state="visible" r:id="rId6"/>
    <sheet name="5.Patent Cliff &amp; M&amp;A" sheetId="5" state="visible" r:id="rId7"/>
    <sheet name="6.Scenario Model" sheetId="6" state="visible" r:id="rId8"/>
    <sheet name="7.Pipeline Composi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<sst xmlns="http://schemas.openxmlformats.org/spreadsheetml/2006/main" count="382" uniqueCount="346">
  <si>
    <t xml:space="preserve">BIOTECH &amp; LIFE SCIENCES  |  INVESTMENT MEMO DATA WORKBOOK  |  Q1 2025</t>
  </si>
  <si>
    <t xml:space="preserve">Memo Reference: Inflection Point in the Innovation Cycle</t>
  </si>
  <si>
    <t xml:space="preserve">INVESTMENT THESIS</t>
  </si>
  <si>
    <t xml:space="preserve">Global biotech trades at a 27% discount to its 10-year mean EV/Sales multiple following a 66% peak-to-trough drawdown in the XBI between 2021 and 2022. The sector reset has created an opportunity rarely seen outside a recessionary credit event. Three structural forces are now converging: a record FDA approval pipeline, an accelerating M&amp;A cycle driven by Big Pharma patent cliffs, and the early-stage productivity lift from AI-assisted drug discovery platforms. We target 35-55% upside in select mid-cap biotech names on a 24-36 month view, underpinned by quantitative valuation regression, M&amp;A probability-weighted return analysis, and scenario modelling across bull/base/bear FDA and macro assumptions.</t>
  </si>
  <si>
    <t xml:space="preserve">KEY METRICS SUMMARY</t>
  </si>
  <si>
    <t xml:space="preserve">Metric</t>
  </si>
  <si>
    <t xml:space="preserve">Value</t>
  </si>
  <si>
    <t xml:space="preserve">Period / Benchmark</t>
  </si>
  <si>
    <t xml:space="preserve">Source</t>
  </si>
  <si>
    <t xml:space="preserve">Signal</t>
  </si>
  <si>
    <t xml:space="preserve">XBI NTM EV/Sales (current)</t>
  </si>
  <si>
    <t xml:space="preserve">5.5x</t>
  </si>
  <si>
    <t xml:space="preserve">10yr mean: 7.2x</t>
  </si>
  <si>
    <t xml:space="preserve">Bloomberg / IBB consensus</t>
  </si>
  <si>
    <t xml:space="preserve">BUY</t>
  </si>
  <si>
    <t xml:space="preserve">XBI 10yr Mean EV/Sales</t>
  </si>
  <si>
    <t xml:space="preserve">7.2x</t>
  </si>
  <si>
    <t xml:space="preserve">2014-2024 avg</t>
  </si>
  <si>
    <t xml:space="preserve">Bloomberg, FactSet</t>
  </si>
  <si>
    <t xml:space="preserve">Reference</t>
  </si>
  <si>
    <t xml:space="preserve">Sector Discount to Mean</t>
  </si>
  <si>
    <t xml:space="preserve">-27%</t>
  </si>
  <si>
    <t xml:space="preserve">vs 10yr mean</t>
  </si>
  <si>
    <t xml:space="preserve">Calculated (see Tab 3)</t>
  </si>
  <si>
    <t xml:space="preserve">Undervalued</t>
  </si>
  <si>
    <t xml:space="preserve">XBI Peak-to-Trough Drawdown</t>
  </si>
  <si>
    <t xml:space="preserve">-66%</t>
  </si>
  <si>
    <t xml:space="preserve">Feb 2021 - May 2022</t>
  </si>
  <si>
    <t xml:space="preserve">Bloomberg</t>
  </si>
  <si>
    <t xml:space="preserve">Reset Complete</t>
  </si>
  <si>
    <t xml:space="preserve">FDA NME Approvals 2024</t>
  </si>
  <si>
    <t xml:space="preserve">50</t>
  </si>
  <si>
    <t xml:space="preserve">10yr avg: 46</t>
  </si>
  <si>
    <t xml:space="preserve">FDA CDER/CBER</t>
  </si>
  <si>
    <t xml:space="preserve">Positive</t>
  </si>
  <si>
    <t xml:space="preserve">FDA NME Approvals 2023</t>
  </si>
  <si>
    <t xml:space="preserve">55</t>
  </si>
  <si>
    <t xml:space="preserve">Cycle high</t>
  </si>
  <si>
    <t xml:space="preserve">Big Pharma Patent Cliff 2025-30</t>
  </si>
  <si>
    <t xml:space="preserve">$180bn</t>
  </si>
  <si>
    <t xml:space="preserve">Revenue at risk</t>
  </si>
  <si>
    <t xml:space="preserve">Evaluate Pharma 2024</t>
  </si>
  <si>
    <t xml:space="preserve">M&amp;A Driver</t>
  </si>
  <si>
    <t xml:space="preserve">Biotech M&amp;A Deal Value 2023</t>
  </si>
  <si>
    <t xml:space="preserve">$148bn</t>
  </si>
  <si>
    <t xml:space="preserve">vs 2022: $78bn</t>
  </si>
  <si>
    <t xml:space="preserve">Bloomberg, Dealogic</t>
  </si>
  <si>
    <t xml:space="preserve">Accelerating</t>
  </si>
  <si>
    <t xml:space="preserve">Mean Biotech M&amp;A Premium</t>
  </si>
  <si>
    <t xml:space="preserve">64%</t>
  </si>
  <si>
    <t xml:space="preserve">5yr avg (deals &gt;$500m)</t>
  </si>
  <si>
    <t xml:space="preserve">Bloomberg M&amp;A data</t>
  </si>
  <si>
    <t xml:space="preserve">GLP-1 Market Size 2030E</t>
  </si>
  <si>
    <t xml:space="preserve">$130bn</t>
  </si>
  <si>
    <t xml:space="preserve">Total obesity market</t>
  </si>
  <si>
    <t xml:space="preserve">Morgan Stanley, 2024</t>
  </si>
  <si>
    <t xml:space="preserve">Secular Theme</t>
  </si>
  <si>
    <t xml:space="preserve">Phase 3 Clinical Success Rate</t>
  </si>
  <si>
    <t xml:space="preserve">57%</t>
  </si>
  <si>
    <t xml:space="preserve">2019-2024 avg</t>
  </si>
  <si>
    <t xml:space="preserve">Citeline / Informa Pharma</t>
  </si>
  <si>
    <t xml:space="preserve">Manageable</t>
  </si>
  <si>
    <t xml:space="preserve">AI Drug Discovery Time Saving</t>
  </si>
  <si>
    <t xml:space="preserve">30-40%</t>
  </si>
  <si>
    <t xml:space="preserve">Preclinical timeline cut</t>
  </si>
  <si>
    <t xml:space="preserve">MIT / Insilico, 2024</t>
  </si>
  <si>
    <t xml:space="preserve">Tailwind</t>
  </si>
  <si>
    <t xml:space="preserve">WORKBOOK NAVIGATION</t>
  </si>
  <si>
    <t xml:space="preserve">1.Overview</t>
  </si>
  <si>
    <t xml:space="preserve">Summary thesis, key metrics, and workbook guide</t>
  </si>
  <si>
    <t xml:space="preserve">2.Macro Thesis</t>
  </si>
  <si>
    <t xml:space="preserve">Demographic data, GLP-1 market sizing, AI drug discovery timeline analysis</t>
  </si>
  <si>
    <t xml:space="preserve">3.EV/Sales Regression</t>
  </si>
  <si>
    <t xml:space="preserve">XBI NTM EV/Sales historical data, OLS regression, current discount calculation</t>
  </si>
  <si>
    <t xml:space="preserve">4.FDA Approvals</t>
  </si>
  <si>
    <t xml:space="preserve">Annual FDA NME/BLA approvals 2014-2024, trend analysis, cycle statistics</t>
  </si>
  <si>
    <t xml:space="preserve">5.Patent Cliff &amp; M&amp;A</t>
  </si>
  <si>
    <t xml:space="preserve">Big Pharma patent cliff revenue data, M&amp;A deal volume, premium analysis</t>
  </si>
  <si>
    <t xml:space="preserve">6.Scenario Model</t>
  </si>
  <si>
    <t xml:space="preserve">Bull/base/bear return scenarios across EV/Sales re-rating and M&amp;A probability</t>
  </si>
  <si>
    <t xml:space="preserve">MACRO THESIS  |  STRUCTURAL DEMAND &amp; INNOVATION DRIVERS</t>
  </si>
  <si>
    <t xml:space="preserve">SECTION 1: AGING DEMOGRAPHICS &amp; HEALTHCARE SPENDING</t>
  </si>
  <si>
    <t xml:space="preserve">Region</t>
  </si>
  <si>
    <t xml:space="preserve">65+ Pop 2000 (m)</t>
  </si>
  <si>
    <t xml:space="preserve">65+ Pop 2024 (m)</t>
  </si>
  <si>
    <t xml:space="preserve">65+ Pop 2050E (m)</t>
  </si>
  <si>
    <t xml:space="preserve">CAGR 2024-50E</t>
  </si>
  <si>
    <t xml:space="preserve">Healthcare % GDP 2024</t>
  </si>
  <si>
    <t xml:space="preserve">Healthcare % GDP 2035E</t>
  </si>
  <si>
    <t xml:space="preserve">Key Indications</t>
  </si>
  <si>
    <t xml:space="preserve">Global</t>
  </si>
  <si>
    <t xml:space="preserve">Oncology, CNS, Cardiometabolic</t>
  </si>
  <si>
    <t xml:space="preserve">United States</t>
  </si>
  <si>
    <t xml:space="preserve">Oncology, CVD, Alzheimers</t>
  </si>
  <si>
    <t xml:space="preserve">European Union</t>
  </si>
  <si>
    <t xml:space="preserve">Oncology, Rare Disease</t>
  </si>
  <si>
    <t xml:space="preserve">China</t>
  </si>
  <si>
    <t xml:space="preserve">Cardiometabolic, CNS</t>
  </si>
  <si>
    <t xml:space="preserve">Japan</t>
  </si>
  <si>
    <t xml:space="preserve">Rest of World</t>
  </si>
  <si>
    <t xml:space="preserve">Infectious Disease, Cardiometabolic</t>
  </si>
  <si>
    <t xml:space="preserve">Source: WHO World Health Statistics 2024, OECD Health Statistics 2024, UN World Population Prospects 2024. Healthcare % GDP = total health expenditure.</t>
  </si>
  <si>
    <t xml:space="preserve">SECTION 2: GLP-1 / METABOLIC DRUG MARKET SIZING ($bn)</t>
  </si>
  <si>
    <t xml:space="preserve">Year</t>
  </si>
  <si>
    <t xml:space="preserve">Obesity Market ($bn)</t>
  </si>
  <si>
    <t xml:space="preserve">Cardiometabolic Add-on ($bn)</t>
  </si>
  <si>
    <t xml:space="preserve">NASH/Liver ($bn)</t>
  </si>
  <si>
    <t xml:space="preserve">Sleep Apnoea ($bn)</t>
  </si>
  <si>
    <t xml:space="preserve">Total Addressable ($bn)</t>
  </si>
  <si>
    <t xml:space="preserve">YoY Growth</t>
  </si>
  <si>
    <t xml:space="preserve">N/A</t>
  </si>
  <si>
    <t xml:space="preserve">Source: Morgan Stanley Healthcare, Nov 2024; Evaluate Pharma GLP-1 forecast model; Goldman Sachs Obesity Drug Market Report, 2024. Cardiometabolic add-on includes CV risk reduction label expansion.</t>
  </si>
  <si>
    <t xml:space="preserve">SECTION 3: AI DRUG DISCOVERY -- TIMELINE &amp; COST IMPACT</t>
  </si>
  <si>
    <t xml:space="preserve">Phase</t>
  </si>
  <si>
    <t xml:space="preserve">Traditional Timeline (months)</t>
  </si>
  <si>
    <t xml:space="preserve">AI-Assisted Timeline (months)</t>
  </si>
  <si>
    <t xml:space="preserve">Time Saving (%)</t>
  </si>
  <si>
    <t xml:space="preserve">Cost Traditional ($m)</t>
  </si>
  <si>
    <t xml:space="preserve">Cost AI-Assisted ($m)</t>
  </si>
  <si>
    <t xml:space="preserve">Cost Saving (%)</t>
  </si>
  <si>
    <t xml:space="preserve">Key Technology</t>
  </si>
  <si>
    <t xml:space="preserve">Target ID &amp; Validation</t>
  </si>
  <si>
    <t xml:space="preserve">AlphaFold 3, generative chemistry</t>
  </si>
  <si>
    <t xml:space="preserve">Hit Generation</t>
  </si>
  <si>
    <t xml:space="preserve">GenAI molecular generation</t>
  </si>
  <si>
    <t xml:space="preserve">Lead Optimisation</t>
  </si>
  <si>
    <t xml:space="preserve">ADMET prediction, Schrödinger</t>
  </si>
  <si>
    <t xml:space="preserve">Preclinical IND-enabling</t>
  </si>
  <si>
    <t xml:space="preserve">In silico toxicology, Insilico</t>
  </si>
  <si>
    <t xml:space="preserve">Phase 1 Clinical</t>
  </si>
  <si>
    <t xml:space="preserve">AI patient selection</t>
  </si>
  <si>
    <t xml:space="preserve">Phase 2 Clinical</t>
  </si>
  <si>
    <t xml:space="preserve">Adaptive trial design</t>
  </si>
  <si>
    <t xml:space="preserve">Phase 3 Clinical</t>
  </si>
  <si>
    <t xml:space="preserve">Real-world evidence integration</t>
  </si>
  <si>
    <t xml:space="preserve">Source: MIT Drug Discovery Research Centre 2024; Insilico Medicine pipeline data; Recursion Pharmaceuticals investor presentation 2024; Nature Reviews Drug Discovery, Scannell &amp; Bosley 2024.</t>
  </si>
  <si>
    <t xml:space="preserve">BIOTECH NTM EV/SALES  |  OLS REGRESSION &amp; MEAN REVERSION ANALYSIS</t>
  </si>
  <si>
    <t xml:space="preserve">HISTORICAL DATA &amp; OLS INPUTS</t>
  </si>
  <si>
    <t xml:space="preserve">NTM EV/Sales (x)</t>
  </si>
  <si>
    <t xml:space="preserve">YoY Change</t>
  </si>
  <si>
    <t xml:space="preserve">UST 10yr (%)</t>
  </si>
  <si>
    <t xml:space="preserve">VIX Avg</t>
  </si>
  <si>
    <t xml:space="preserve">S&amp;P 500 Return</t>
  </si>
  <si>
    <t xml:space="preserve">XBI Return</t>
  </si>
  <si>
    <t xml:space="preserve">Spread (XBI-S&amp;P)</t>
  </si>
  <si>
    <t xml:space="preserve">Time Index (t)</t>
  </si>
  <si>
    <t xml:space="preserve">Predicted (OLS)</t>
  </si>
  <si>
    <t xml:space="preserve">Residual</t>
  </si>
  <si>
    <t xml:space="preserve">YTD</t>
  </si>
  <si>
    <t xml:space="preserve">OLS REGRESSION STATISTICS (NTM EV/Sales ~ Time)</t>
  </si>
  <si>
    <t xml:space="preserve">Statistic</t>
  </si>
  <si>
    <t xml:space="preserve">Interpretation</t>
  </si>
  <si>
    <t xml:space="preserve">Observations (n)</t>
  </si>
  <si>
    <t xml:space="preserve">Excludes current partial year 2025</t>
  </si>
  <si>
    <t xml:space="preserve">Slope (beta)</t>
  </si>
  <si>
    <t xml:space="preserve">EV/Sales trend per year (time)</t>
  </si>
  <si>
    <t xml:space="preserve">Intercept (alpha)</t>
  </si>
  <si>
    <t xml:space="preserve">Estimated EV/Sales at t=0</t>
  </si>
  <si>
    <t xml:space="preserve">R-Squared</t>
  </si>
  <si>
    <t xml:space="preserve">Explanatory power of time trend alone</t>
  </si>
  <si>
    <t xml:space="preserve">Correlation (r)</t>
  </si>
  <si>
    <t xml:space="preserve">Pearson correlation: EV/Sales vs time</t>
  </si>
  <si>
    <t xml:space="preserve">Std Error of Estimate</t>
  </si>
  <si>
    <t xml:space="preserve">Residual std dev around trendline</t>
  </si>
  <si>
    <t xml:space="preserve">10yr Mean EV/Sales</t>
  </si>
  <si>
    <t xml:space="preserve">Simple arithmetic mean 2014-2024</t>
  </si>
  <si>
    <t xml:space="preserve">Current EV/Sales</t>
  </si>
  <si>
    <t xml:space="preserve">Green = cross-sheet read from data row</t>
  </si>
  <si>
    <t xml:space="preserve">Discount to Mean (%)</t>
  </si>
  <si>
    <t xml:space="preserve">Current vs 10yr mean</t>
  </si>
  <si>
    <t xml:space="preserve">z-Score (vs mean)</t>
  </si>
  <si>
    <t xml:space="preserve">Std devs below mean (negative = cheap)</t>
  </si>
  <si>
    <t xml:space="preserve">Target (mean reversion)</t>
  </si>
  <si>
    <t xml:space="preserve">Assumes reversion to 10yr mean</t>
  </si>
  <si>
    <t xml:space="preserve">Implied Upside (%)</t>
  </si>
  <si>
    <t xml:space="preserve">EV/Sales expansion if reverts to mean</t>
  </si>
  <si>
    <t xml:space="preserve">Source: Bloomberg Terminal (NTM EV/Sales: XBI/IBB constituent-weighted forward revenue consensus). UST 10yr: Federal Reserve H.15. VIX: CBOE. Returns: Bloomberg total return indices. OLS = ordinary least squares.</t>
  </si>
  <si>
    <t xml:space="preserve">FDA NOVEL DRUG APPROVALS  |  NME + BLA ANNUAL DATA 2014-2024</t>
  </si>
  <si>
    <t xml:space="preserve">ANNUAL FDA APPROVAL DATA</t>
  </si>
  <si>
    <t xml:space="preserve">NME Count</t>
  </si>
  <si>
    <t xml:space="preserve">BLA Count</t>
  </si>
  <si>
    <t xml:space="preserve">Total Approvals</t>
  </si>
  <si>
    <t xml:space="preserve">Oncology</t>
  </si>
  <si>
    <t xml:space="preserve">Rare Disease</t>
  </si>
  <si>
    <t xml:space="preserve">CNS</t>
  </si>
  <si>
    <t xml:space="preserve">Metabolic/CVD</t>
  </si>
  <si>
    <t xml:space="preserve">Approval Rate (%)</t>
  </si>
  <si>
    <t xml:space="preserve">vs Prior Year</t>
  </si>
  <si>
    <t xml:space="preserve">SUMMARY STATISTICS</t>
  </si>
  <si>
    <t xml:space="preserve">Period</t>
  </si>
  <si>
    <t xml:space="preserve">2014-2024</t>
  </si>
  <si>
    <t xml:space="preserve">Annual Average (mean)</t>
  </si>
  <si>
    <t xml:space="preserve">Median Annual Approvals</t>
  </si>
  <si>
    <t xml:space="preserve">Peak Year</t>
  </si>
  <si>
    <t xml:space="preserve">Peak Approvals</t>
  </si>
  <si>
    <t xml:space="preserve">Trough Year</t>
  </si>
  <si>
    <t xml:space="preserve">Trough Approvals</t>
  </si>
  <si>
    <t xml:space="preserve">2024 vs Mean</t>
  </si>
  <si>
    <t xml:space="preserve">Oncology Share (avg)</t>
  </si>
  <si>
    <t xml:space="preserve">Rare Disease Share (avg)</t>
  </si>
  <si>
    <t xml:space="preserve">Trend Slope (OLS)</t>
  </si>
  <si>
    <t xml:space="preserve">Source: FDA Center for Drug Evaluation and Research (CDER) Novel Drug Approvals database; FDA CBER BLA approvals database. Annual approval rate = % of Priority/Standard Review applications approved in year.</t>
  </si>
  <si>
    <t xml:space="preserve">PHARMA PATENT CLIFF &amp; BIOTECH M&amp;A  |  STRUCTURAL DEMAND DRIVER ANALYSIS</t>
  </si>
  <si>
    <t xml:space="preserve">SECTION 1: BIG PHARMA PATENT CLIFF -- REVENUE AT RISK ($bn)</t>
  </si>
  <si>
    <t xml:space="preserve">Total At Risk ($bn)</t>
  </si>
  <si>
    <t xml:space="preserve">Oncology ($bn)</t>
  </si>
  <si>
    <t xml:space="preserve">Immunology ($bn)</t>
  </si>
  <si>
    <t xml:space="preserve">Neurology ($bn)</t>
  </si>
  <si>
    <t xml:space="preserve">CVD ($bn)</t>
  </si>
  <si>
    <t xml:space="preserve">Other ($bn)</t>
  </si>
  <si>
    <t xml:space="preserve">Verify Sum</t>
  </si>
  <si>
    <t xml:space="preserve">Forecast Flag</t>
  </si>
  <si>
    <t xml:space="preserve">Actual</t>
  </si>
  <si>
    <t xml:space="preserve">Forecast</t>
  </si>
  <si>
    <t xml:space="preserve">2025-2030 Total</t>
  </si>
  <si>
    <t xml:space="preserve">Source: Evaluate Pharma Pharma &amp; Biotech Patent Expiry 2024; Goldman Sachs Pharma Patent Cliff Analysis; Citeline. Forecast years shaded yellow.</t>
  </si>
  <si>
    <t xml:space="preserve">SECTION 2: BIOTECH M&amp;A DEAL VALUE &amp; PREMIUM ANALYSIS</t>
  </si>
  <si>
    <t xml:space="preserve">Deal Count (&gt;$500m)</t>
  </si>
  <si>
    <t xml:space="preserve">Total Value ($bn)</t>
  </si>
  <si>
    <t xml:space="preserve">Avg Deal Size ($bn)</t>
  </si>
  <si>
    <t xml:space="preserve">Median Premium (%)</t>
  </si>
  <si>
    <t xml:space="preserve">Largest Deal ($bn)</t>
  </si>
  <si>
    <t xml:space="preserve">Acquirer Type</t>
  </si>
  <si>
    <t xml:space="preserve">Avg Premium (%)</t>
  </si>
  <si>
    <t xml:space="preserve">Big Pharma / Diversified</t>
  </si>
  <si>
    <t xml:space="preserve">Big Pharma</t>
  </si>
  <si>
    <t xml:space="preserve">Mixed</t>
  </si>
  <si>
    <t xml:space="preserve">Big Pharma / Specialty</t>
  </si>
  <si>
    <t xml:space="preserve">M&amp;A SUMMARY STATISTICS</t>
  </si>
  <si>
    <t xml:space="preserve">Total M&amp;A Value 2019-2024 ($bn)</t>
  </si>
  <si>
    <t xml:space="preserve">Total Deals &gt;$500m (2019-2024)</t>
  </si>
  <si>
    <t xml:space="preserve">6yr Average Deal Value ($bn)</t>
  </si>
  <si>
    <t xml:space="preserve">Average M&amp;A Premium (6yr avg)</t>
  </si>
  <si>
    <t xml:space="preserve">Peak Deal Value Year</t>
  </si>
  <si>
    <t xml:space="preserve">2023-24 avg vs 2019-22 avg</t>
  </si>
  <si>
    <t xml:space="preserve">Source: Bloomberg M&amp;A database, Dealogic, Evaluate Pharma M&amp;A league tables. Deals &gt;$500m in disclosed transaction value. Premium = % above 30-day VWAP at announcement.</t>
  </si>
  <si>
    <t xml:space="preserve">BIOTECH SCENARIO RETURN MODEL  |  EV/SALES RE-RATING + M&amp;A PROBABILITY</t>
  </si>
  <si>
    <t xml:space="preserve">MODEL ASSUMPTIONS  (Blue = Input | Yellow = Key Assumption)</t>
  </si>
  <si>
    <t xml:space="preserve">Parameter</t>
  </si>
  <si>
    <t xml:space="preserve">Bear</t>
  </si>
  <si>
    <t xml:space="preserve">Base</t>
  </si>
  <si>
    <t xml:space="preserve">Bull</t>
  </si>
  <si>
    <t xml:space="preserve">Notes</t>
  </si>
  <si>
    <t xml:space="preserve">Entry EV/Sales (x)</t>
  </si>
  <si>
    <t xml:space="preserve">Current sector EV/Sales (XBI proxy)</t>
  </si>
  <si>
    <t xml:space="preserve">Exit EV/Sales (x)</t>
  </si>
  <si>
    <t xml:space="preserve">Bear=partial, Base=mean reversion, Bull=2021 peak</t>
  </si>
  <si>
    <t xml:space="preserve">Forward Revenue Growth (%)</t>
  </si>
  <si>
    <t xml:space="preserve">Sector NTM consensus revenue CAGR</t>
  </si>
  <si>
    <t xml:space="preserve">Holding Period (years)</t>
  </si>
  <si>
    <t xml:space="preserve">Investment horizon</t>
  </si>
  <si>
    <t xml:space="preserve">Starting Index Level</t>
  </si>
  <si>
    <t xml:space="preserve">Normalised entry = 100</t>
  </si>
  <si>
    <t xml:space="preserve">M&amp;A Probability (%)</t>
  </si>
  <si>
    <t xml:space="preserve">Prob of portfolio co. acquired (annual)</t>
  </si>
  <si>
    <t xml:space="preserve">Takeover Premium (%)</t>
  </si>
  <si>
    <t xml:space="preserve">Based on 6yr Bloomberg average of 64%</t>
  </si>
  <si>
    <t xml:space="preserve">Dividend / Buyback Yield (%)</t>
  </si>
  <si>
    <t xml:space="preserve">Low yield sector; buybacks dominate</t>
  </si>
  <si>
    <t xml:space="preserve">SCENARIO OUTPUT  |  3-YEAR TOTAL RETURN PROJECTIONS</t>
  </si>
  <si>
    <t xml:space="preserve">Output</t>
  </si>
  <si>
    <t xml:space="preserve">Year 3 Revenue Index (entry=100)</t>
  </si>
  <si>
    <t xml:space="preserve">Year 3 EV (Revenue x Exit Multiple)</t>
  </si>
  <si>
    <t xml:space="preserve">EV/Sales Re-rating Return (%)</t>
  </si>
  <si>
    <t xml:space="preserve">Cumulative Dividend Return (%)</t>
  </si>
  <si>
    <t xml:space="preserve">M&amp;A Uplift (prob-weighted, %)</t>
  </si>
  <si>
    <t xml:space="preserve">Total Return (%)</t>
  </si>
  <si>
    <t xml:space="preserve">CAGR (%)</t>
  </si>
  <si>
    <t xml:space="preserve">EV/Sales Expansion (entry-&gt;exit)</t>
  </si>
  <si>
    <t xml:space="preserve">PROBABILITY-WEIGHTED EXPECTED RETURN</t>
  </si>
  <si>
    <t xml:space="preserve">Scenario</t>
  </si>
  <si>
    <t xml:space="preserve">Probability</t>
  </si>
  <si>
    <t xml:space="preserve">Weighted Return (%)</t>
  </si>
  <si>
    <t xml:space="preserve">Expected Return (prob-weighted)</t>
  </si>
  <si>
    <t xml:space="preserve">Expected CAGR (prob-weighted, 3yr)</t>
  </si>
  <si>
    <t xml:space="preserve">Note: M&amp;A uplift uses simplified actuarial model: prob-weighted premium * probability of bid. EV/Sales re-rating assumes sector-wide multiple expansion; individual stock selection adds alpha. Model does not account for stock-specific FDA binary events or financing risk.</t>
  </si>
  <si>
    <t xml:space="preserve">GLOBAL BIOTECH PIPELINE COMPOSITION  |  PHASE 2 &amp; 3 BY INDICATION  |  Q4 2024</t>
  </si>
  <si>
    <t xml:space="preserve">PIPELINE BY INDICATION AND CLINICAL PHASE</t>
  </si>
  <si>
    <t xml:space="preserve">Indication</t>
  </si>
  <si>
    <t xml:space="preserve">Phase 1</t>
  </si>
  <si>
    <t xml:space="preserve">Phase 2</t>
  </si>
  <si>
    <t xml:space="preserve">Phase 3</t>
  </si>
  <si>
    <t xml:space="preserve">NDA/BLA Filed</t>
  </si>
  <si>
    <t xml:space="preserve">3yr Approval Rate</t>
  </si>
  <si>
    <t xml:space="preserve">Key Mechanisms</t>
  </si>
  <si>
    <t xml:space="preserve">Lead Asset Examples</t>
  </si>
  <si>
    <t xml:space="preserve">Market Size 2030E ($bn)</t>
  </si>
  <si>
    <t xml:space="preserve">Oncology (solid tumours)</t>
  </si>
  <si>
    <t xml:space="preserve">ADC, bispecific Ab, CAR-T, IO checkpoint</t>
  </si>
  <si>
    <t xml:space="preserve">Dato-DXd, Tarlatamab, LY3475070</t>
  </si>
  <si>
    <t xml:space="preserve">Haematologic oncology</t>
  </si>
  <si>
    <t xml:space="preserve">BTK, BCL-2, CAR-T, bispecific</t>
  </si>
  <si>
    <t xml:space="preserve">Mosunetuzumab, Epcoritamab, Inavolisib</t>
  </si>
  <si>
    <t xml:space="preserve">Rare / Orphan Disease</t>
  </si>
  <si>
    <t xml:space="preserve">Gene therapy, ASO, enzyme replacement</t>
  </si>
  <si>
    <t xml:space="preserve">Fidanacogene, Delandistrogene, Patisiran</t>
  </si>
  <si>
    <t xml:space="preserve">Neurology / CNS</t>
  </si>
  <si>
    <t xml:space="preserve">BACE inhib, tau, alpha-syn, GLP-1R agonist</t>
  </si>
  <si>
    <t xml:space="preserve">Donanemab, Lecanemab, Semaglutide CNS</t>
  </si>
  <si>
    <t xml:space="preserve">Immunology / Inflammation</t>
  </si>
  <si>
    <t xml:space="preserve">IL-17/23, JAK 1/2, TYK2, BTK</t>
  </si>
  <si>
    <t xml:space="preserve">Bimekizumab, Deucravacitinib, Izokibep</t>
  </si>
  <si>
    <t xml:space="preserve">Cardiometabolic</t>
  </si>
  <si>
    <t xml:space="preserve">GLP-1, PCSK9, HSD11B1, SGLT2 expansion</t>
  </si>
  <si>
    <t xml:space="preserve">Orforglipron, Mim8, Ziltivekimab</t>
  </si>
  <si>
    <t xml:space="preserve">Infectious Disease</t>
  </si>
  <si>
    <t xml:space="preserve">mRNA vaccine, NNRTI, integrase, RSV</t>
  </si>
  <si>
    <t xml:space="preserve">mResvia, Lenacapavir, Nirsevimab</t>
  </si>
  <si>
    <t xml:space="preserve">Ophthalmology</t>
  </si>
  <si>
    <t xml:space="preserve">Anti-VEGF, gene therapy, complement</t>
  </si>
  <si>
    <t xml:space="preserve">Ixoberogene, Avacincaptad, Tarcocimab</t>
  </si>
  <si>
    <t xml:space="preserve">Gene Therapy (all)</t>
  </si>
  <si>
    <t xml:space="preserve">AAV, LNP-mRNA, base/prime editing</t>
  </si>
  <si>
    <t xml:space="preserve">Beqvez, Hemgenix, Durveqtide</t>
  </si>
  <si>
    <t xml:space="preserve">Dermatology</t>
  </si>
  <si>
    <t xml:space="preserve">IL-31, OX40, TLR7/8 inhib, TYK2</t>
  </si>
  <si>
    <t xml:space="preserve">Amlitelimab, Rocatinlimab, Povorcitinib</t>
  </si>
  <si>
    <t xml:space="preserve">TOTAL / WEIGHTED AVG</t>
  </si>
  <si>
    <t xml:space="preserve">Source: Citeline Pharma Intelligence / Informa Pharma, Q4 2024. Phase counts = industry-sponsored trials only. Approval rate = 3-year rolling average for trials completing Phase 3 in 2021-2024. Market size = Evaluate Pharma 2030 forecast.</t>
  </si>
  <si>
    <t xml:space="preserve">SECTION 2: XBI vs S&amp;P 500 ANNUAL TOTAL RETURNS 2014-2024</t>
  </si>
  <si>
    <t xml:space="preserve">XBI vs SPY (spread)</t>
  </si>
  <si>
    <t xml:space="preserve">UST 10yr Avg (%)</t>
  </si>
  <si>
    <t xml:space="preserve">XBI Outperform?</t>
  </si>
  <si>
    <t xml:space="preserve">GLP-1 precursors; Gilead Sovaldi peak</t>
  </si>
  <si>
    <t xml:space="preserve">Biotech bubble peak; Valeant controversy</t>
  </si>
  <si>
    <t xml:space="preserve">Drug pricing politics; biotech correction</t>
  </si>
  <si>
    <t xml:space="preserve">FDA accelerated approval boom</t>
  </si>
  <si>
    <t xml:space="preserve">Rate rises begin; M&amp;A surge</t>
  </si>
  <si>
    <t xml:space="preserve">Rate cuts; strong pipeline data</t>
  </si>
  <si>
    <t xml:space="preserve">COVID mRNA; zero rates; SPAC boom</t>
  </si>
  <si>
    <t xml:space="preserve">Multiple compression begins; rates rise</t>
  </si>
  <si>
    <t xml:space="preserve">Worst XBI year; peak rate shock</t>
  </si>
  <si>
    <t xml:space="preserve">Partial recovery; M&amp;A lifts mid-caps</t>
  </si>
  <si>
    <t xml:space="preserve">Rates plateau; slow re-rating</t>
  </si>
  <si>
    <t xml:space="preserve">RETURN STATISTICS</t>
  </si>
  <si>
    <t xml:space="preserve">XBI Cumulative Return 2014-2024</t>
  </si>
  <si>
    <t xml:space="preserve">SPY Cumulative Return 2014-2024</t>
  </si>
  <si>
    <t xml:space="preserve">XBI CAGR (11yr)</t>
  </si>
  <si>
    <t xml:space="preserve">SPY CAGR (11yr)</t>
  </si>
  <si>
    <t xml:space="preserve">XBI Mean Annual Return</t>
  </si>
  <si>
    <t xml:space="preserve">XBI Std Dev (annual)</t>
  </si>
  <si>
    <t xml:space="preserve">XBI Sharpe (vs 2.5% rf)</t>
  </si>
  <si>
    <t xml:space="preserve">Years XBI Outperformed SPY</t>
  </si>
  <si>
    <t xml:space="preserve">Max Drawdown Year</t>
  </si>
  <si>
    <t xml:space="preserve">Best Year</t>
  </si>
  <si>
    <t xml:space="preserve">Source: Bloomberg total return indices. XBI = SPDR S&amp;P Biotech ETF. SPY = SPDR S&amp;P 500 ETF Trust. Annual returns include dividends reinvested. Cumulative formulas require array entry (Ctrl+Shift+Enter) in some Excel versions.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</si>
</sst>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0"/>
    <numFmt numFmtId="168" formatCode="#,##0.0"/>
    <numFmt numFmtId="169" formatCode="0%"/>
    <numFmt numFmtId="170" formatCode="0.0"/>
    <numFmt numFmtId="171" formatCode="0.00%"/>
    <numFmt numFmtId="172" formatCode="0.00"/>
    <numFmt numFmtId="173" formatCode="0.000"/>
    <numFmt numFmtId="174" formatCode="\+0;\-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9"/>
      <color rgb="FF1E6FA8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8"/>
      <color rgb="FF333333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F3C"/>
        <bgColor rgb="FF222222"/>
      </patternFill>
    </fill>
    <fill>
      <patternFill patternType="solid">
        <fgColor rgb="FF1E6FA8"/>
        <bgColor rgb="FF008080"/>
      </patternFill>
    </fill>
    <fill>
      <patternFill patternType="solid">
        <fgColor rgb="FFEEF3F8"/>
        <bgColor rgb="FFFFFFFF"/>
      </patternFill>
    </fill>
    <fill>
      <patternFill patternType="solid">
        <fgColor rgb="FFFFF3CC"/>
        <bgColor rgb="FFFDDEDE"/>
      </patternFill>
    </fill>
    <fill>
      <patternFill patternType="solid">
        <fgColor rgb="FFFFFF00"/>
        <bgColor rgb="FFFFFF00"/>
      </patternFill>
    </fill>
    <fill>
      <patternFill patternType="solid">
        <fgColor rgb="FF2E8B57"/>
        <bgColor rgb="FF008080"/>
      </patternFill>
    </fill>
    <fill>
      <patternFill patternType="solid">
        <fgColor rgb="FFFDDEDE"/>
        <bgColor rgb="FFFFF3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E6FA8"/>
      </bottom>
      <diagonal/>
    </border>
    <border diagonalUp="false" diagonalDown="false"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 diagonalUp="false" diagonalDown="false">
      <left style="thin">
        <color rgb="FFB0BEC5"/>
      </left>
      <right/>
      <top style="thin">
        <color rgb="FFB0BEC5"/>
      </top>
      <bottom style="thin">
        <color rgb="FFB0BE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EC5"/>
      <rgbColor rgb="FF808080"/>
      <rgbColor rgb="FF9999FF"/>
      <rgbColor rgb="FF993366"/>
      <rgbColor rgb="FFFFF3CC"/>
      <rgbColor rgb="FFEEF3F8"/>
      <rgbColor rgb="FF660066"/>
      <rgbColor rgb="FFFF8080"/>
      <rgbColor rgb="FF1E6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DED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D1F3C"/>
      <rgbColor rgb="FF2E8B57"/>
      <rgbColor rgb="FF003300"/>
      <rgbColor rgb="FF222222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6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8" min="6" style="0" width="1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8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6" customFormat="false" ht="18" hidden="false" customHeight="true" outlineLevel="0" collapsed="false">
      <c r="A6" s="4"/>
      <c r="B6" s="4"/>
      <c r="C6" s="4"/>
      <c r="D6" s="4"/>
      <c r="E6" s="4"/>
      <c r="F6" s="4"/>
      <c r="G6" s="4"/>
      <c r="H6" s="4"/>
    </row>
    <row r="7" customFormat="false" ht="18" hidden="false" customHeight="true" outlineLevel="0" collapsed="false">
      <c r="A7" s="4"/>
      <c r="B7" s="4"/>
      <c r="C7" s="4"/>
      <c r="D7" s="4"/>
      <c r="E7" s="4"/>
      <c r="F7" s="4"/>
      <c r="G7" s="4"/>
      <c r="H7" s="4"/>
    </row>
    <row r="9" customFormat="false" ht="18" hidden="false" customHeight="true" outlineLevel="0" collapsed="false">
      <c r="A9" s="5" t="s">
        <v>4</v>
      </c>
      <c r="B9" s="5"/>
      <c r="C9" s="5"/>
      <c r="D9" s="5"/>
      <c r="E9" s="5"/>
      <c r="F9" s="5"/>
      <c r="G9" s="5"/>
      <c r="H9" s="5"/>
    </row>
    <row r="10" customFormat="false" ht="15" hidden="false" customHeight="true" outlineLevel="0" collapsed="false">
      <c r="A10" s="6" t="s">
        <v>5</v>
      </c>
      <c r="B10" s="6" t="s">
        <v>6</v>
      </c>
      <c r="C10" s="6" t="s">
        <v>7</v>
      </c>
      <c r="D10" s="6" t="s">
        <v>8</v>
      </c>
      <c r="E10" s="6" t="s">
        <v>9</v>
      </c>
    </row>
    <row r="11" customFormat="false" ht="13.5" hidden="false" customHeight="true" outlineLevel="0" collapsed="false">
      <c r="A11" s="7" t="s">
        <v>10</v>
      </c>
      <c r="B11" s="8" t="s">
        <v>11</v>
      </c>
      <c r="C11" s="7" t="s">
        <v>12</v>
      </c>
      <c r="D11" s="7" t="s">
        <v>13</v>
      </c>
      <c r="E11" s="9" t="s">
        <v>14</v>
      </c>
    </row>
    <row r="12" customFormat="false" ht="13.5" hidden="false" customHeight="true" outlineLevel="0" collapsed="false">
      <c r="A12" s="10" t="s">
        <v>15</v>
      </c>
      <c r="B12" s="11" t="s">
        <v>16</v>
      </c>
      <c r="C12" s="10" t="s">
        <v>17</v>
      </c>
      <c r="D12" s="10" t="s">
        <v>18</v>
      </c>
      <c r="E12" s="12" t="s">
        <v>19</v>
      </c>
    </row>
    <row r="13" customFormat="false" ht="13.5" hidden="false" customHeight="true" outlineLevel="0" collapsed="false">
      <c r="A13" s="7" t="s">
        <v>20</v>
      </c>
      <c r="B13" s="8" t="s">
        <v>21</v>
      </c>
      <c r="C13" s="7" t="s">
        <v>22</v>
      </c>
      <c r="D13" s="7" t="s">
        <v>23</v>
      </c>
      <c r="E13" s="9" t="s">
        <v>24</v>
      </c>
    </row>
    <row r="14" customFormat="false" ht="13.5" hidden="false" customHeight="true" outlineLevel="0" collapsed="false">
      <c r="A14" s="10" t="s">
        <v>25</v>
      </c>
      <c r="B14" s="11" t="s">
        <v>26</v>
      </c>
      <c r="C14" s="10" t="s">
        <v>27</v>
      </c>
      <c r="D14" s="10" t="s">
        <v>28</v>
      </c>
      <c r="E14" s="12" t="s">
        <v>29</v>
      </c>
    </row>
    <row r="15" customFormat="false" ht="13.5" hidden="false" customHeight="true" outlineLevel="0" collapsed="false">
      <c r="A15" s="7" t="s">
        <v>30</v>
      </c>
      <c r="B15" s="8" t="s">
        <v>31</v>
      </c>
      <c r="C15" s="7" t="s">
        <v>32</v>
      </c>
      <c r="D15" s="7" t="s">
        <v>33</v>
      </c>
      <c r="E15" s="9" t="s">
        <v>34</v>
      </c>
    </row>
    <row r="16" customFormat="false" ht="13.5" hidden="false" customHeight="true" outlineLevel="0" collapsed="false">
      <c r="A16" s="10" t="s">
        <v>35</v>
      </c>
      <c r="B16" s="11" t="s">
        <v>36</v>
      </c>
      <c r="C16" s="10" t="s">
        <v>37</v>
      </c>
      <c r="D16" s="10" t="s">
        <v>33</v>
      </c>
      <c r="E16" s="9" t="s">
        <v>34</v>
      </c>
    </row>
    <row r="17" customFormat="false" ht="13.5" hidden="false" customHeight="true" outlineLevel="0" collapsed="false">
      <c r="A17" s="7" t="s">
        <v>38</v>
      </c>
      <c r="B17" s="8" t="s">
        <v>39</v>
      </c>
      <c r="C17" s="7" t="s">
        <v>40</v>
      </c>
      <c r="D17" s="7" t="s">
        <v>41</v>
      </c>
      <c r="E17" s="12" t="s">
        <v>42</v>
      </c>
    </row>
    <row r="18" customFormat="false" ht="13.5" hidden="false" customHeight="true" outlineLevel="0" collapsed="false">
      <c r="A18" s="10" t="s">
        <v>43</v>
      </c>
      <c r="B18" s="11" t="s">
        <v>44</v>
      </c>
      <c r="C18" s="10" t="s">
        <v>45</v>
      </c>
      <c r="D18" s="10" t="s">
        <v>46</v>
      </c>
      <c r="E18" s="9" t="s">
        <v>47</v>
      </c>
    </row>
    <row r="19" customFormat="false" ht="13.5" hidden="false" customHeight="true" outlineLevel="0" collapsed="false">
      <c r="A19" s="7" t="s">
        <v>48</v>
      </c>
      <c r="B19" s="8" t="s">
        <v>49</v>
      </c>
      <c r="C19" s="7" t="s">
        <v>50</v>
      </c>
      <c r="D19" s="7" t="s">
        <v>51</v>
      </c>
      <c r="E19" s="9" t="s">
        <v>34</v>
      </c>
    </row>
    <row r="20" customFormat="false" ht="13.5" hidden="false" customHeight="true" outlineLevel="0" collapsed="false">
      <c r="A20" s="10" t="s">
        <v>52</v>
      </c>
      <c r="B20" s="11" t="s">
        <v>53</v>
      </c>
      <c r="C20" s="10" t="s">
        <v>54</v>
      </c>
      <c r="D20" s="10" t="s">
        <v>55</v>
      </c>
      <c r="E20" s="12" t="s">
        <v>56</v>
      </c>
    </row>
    <row r="21" customFormat="false" ht="13.5" hidden="false" customHeight="true" outlineLevel="0" collapsed="false">
      <c r="A21" s="7" t="s">
        <v>57</v>
      </c>
      <c r="B21" s="8" t="s">
        <v>58</v>
      </c>
      <c r="C21" s="7" t="s">
        <v>59</v>
      </c>
      <c r="D21" s="7" t="s">
        <v>60</v>
      </c>
      <c r="E21" s="12" t="s">
        <v>61</v>
      </c>
    </row>
    <row r="22" customFormat="false" ht="13.5" hidden="false" customHeight="true" outlineLevel="0" collapsed="false">
      <c r="A22" s="10" t="s">
        <v>62</v>
      </c>
      <c r="B22" s="11" t="s">
        <v>63</v>
      </c>
      <c r="C22" s="10" t="s">
        <v>64</v>
      </c>
      <c r="D22" s="10" t="s">
        <v>65</v>
      </c>
      <c r="E22" s="12" t="s">
        <v>66</v>
      </c>
    </row>
    <row r="25" customFormat="false" ht="18" hidden="false" customHeight="true" outlineLevel="0" collapsed="false">
      <c r="A25" s="1" t="s">
        <v>67</v>
      </c>
      <c r="B25" s="1"/>
      <c r="C25" s="1"/>
      <c r="D25" s="1"/>
      <c r="E25" s="1"/>
      <c r="F25" s="1"/>
      <c r="G25" s="1"/>
      <c r="H25" s="1"/>
    </row>
    <row r="26" customFormat="false" ht="13.5" hidden="false" customHeight="true" outlineLevel="0" collapsed="false">
      <c r="A26" s="13" t="s">
        <v>68</v>
      </c>
      <c r="B26" s="14" t="s">
        <v>69</v>
      </c>
      <c r="C26" s="14"/>
      <c r="D26" s="14"/>
      <c r="E26" s="14"/>
      <c r="F26" s="14"/>
      <c r="G26" s="14"/>
      <c r="H26" s="14"/>
    </row>
    <row r="27" customFormat="false" ht="13.5" hidden="false" customHeight="true" outlineLevel="0" collapsed="false">
      <c r="A27" s="13" t="s">
        <v>70</v>
      </c>
      <c r="B27" s="14" t="s">
        <v>71</v>
      </c>
      <c r="C27" s="14"/>
      <c r="D27" s="14"/>
      <c r="E27" s="14"/>
      <c r="F27" s="14"/>
      <c r="G27" s="14"/>
      <c r="H27" s="14"/>
    </row>
    <row r="28" customFormat="false" ht="13.5" hidden="false" customHeight="true" outlineLevel="0" collapsed="false">
      <c r="A28" s="13" t="s">
        <v>72</v>
      </c>
      <c r="B28" s="14" t="s">
        <v>73</v>
      </c>
      <c r="C28" s="14"/>
      <c r="D28" s="14"/>
      <c r="E28" s="14"/>
      <c r="F28" s="14"/>
      <c r="G28" s="14"/>
      <c r="H28" s="14"/>
    </row>
    <row r="29" customFormat="false" ht="13.5" hidden="false" customHeight="true" outlineLevel="0" collapsed="false">
      <c r="A29" s="13" t="s">
        <v>74</v>
      </c>
      <c r="B29" s="14" t="s">
        <v>75</v>
      </c>
      <c r="C29" s="14"/>
      <c r="D29" s="14"/>
      <c r="E29" s="14"/>
      <c r="F29" s="14"/>
      <c r="G29" s="14"/>
      <c r="H29" s="14"/>
    </row>
    <row r="30" customFormat="false" ht="13.5" hidden="false" customHeight="true" outlineLevel="0" collapsed="false">
      <c r="A30" s="13" t="s">
        <v>76</v>
      </c>
      <c r="B30" s="14" t="s">
        <v>77</v>
      </c>
      <c r="C30" s="14"/>
      <c r="D30" s="14"/>
      <c r="E30" s="14"/>
      <c r="F30" s="14"/>
      <c r="G30" s="14"/>
      <c r="H30" s="14"/>
    </row>
    <row r="31" customFormat="false" ht="13.5" hidden="false" customHeight="true" outlineLevel="0" collapsed="false">
      <c r="A31" s="13" t="s">
        <v>78</v>
      </c>
      <c r="B31" s="14" t="s">
        <v>79</v>
      </c>
      <c r="C31" s="14"/>
      <c r="D31" s="14"/>
      <c r="E31" s="14"/>
      <c r="F31" s="14"/>
      <c r="G31" s="14"/>
      <c r="H31" s="14"/>
    </row>
  </sheetData>
  <mergeCells count="12">
    <mergeCell ref="A1:H1"/>
    <mergeCell ref="A2:H2"/>
    <mergeCell ref="A4:H4"/>
    <mergeCell ref="A5:H7"/>
    <mergeCell ref="A9:H9"/>
    <mergeCell ref="A25:H25"/>
    <mergeCell ref="B26:H26"/>
    <mergeCell ref="B27:H27"/>
    <mergeCell ref="B28:H28"/>
    <mergeCell ref="B29:H29"/>
    <mergeCell ref="B30:H30"/>
    <mergeCell ref="B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10" min="9" style="0" width="12"/>
  </cols>
  <sheetData>
    <row r="1" customFormat="false" ht="27.7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15" t="s">
        <v>81</v>
      </c>
      <c r="B3" s="15"/>
      <c r="C3" s="15"/>
      <c r="D3" s="15"/>
      <c r="E3" s="15"/>
      <c r="F3" s="15"/>
      <c r="G3" s="15"/>
      <c r="H3" s="15"/>
      <c r="I3" s="15"/>
      <c r="J3" s="15"/>
    </row>
    <row r="4" customFormat="false" ht="13.5" hidden="false" customHeight="true" outlineLevel="0" collapsed="false">
      <c r="A4" s="16" t="s">
        <v>82</v>
      </c>
      <c r="B4" s="16" t="s">
        <v>83</v>
      </c>
      <c r="C4" s="16" t="s">
        <v>84</v>
      </c>
      <c r="D4" s="16" t="s">
        <v>85</v>
      </c>
      <c r="E4" s="16" t="s">
        <v>86</v>
      </c>
      <c r="F4" s="16" t="s">
        <v>87</v>
      </c>
      <c r="G4" s="16" t="s">
        <v>88</v>
      </c>
      <c r="H4" s="16" t="s">
        <v>89</v>
      </c>
    </row>
    <row r="5" customFormat="false" ht="13.5" hidden="false" customHeight="true" outlineLevel="0" collapsed="false">
      <c r="A5" s="10" t="s">
        <v>90</v>
      </c>
      <c r="B5" s="17" t="n">
        <v>420</v>
      </c>
      <c r="C5" s="17" t="n">
        <v>771</v>
      </c>
      <c r="D5" s="17" t="n">
        <v>1600</v>
      </c>
      <c r="E5" s="18" t="n">
        <f aca="false">((D5/C5)^(1/26))-1</f>
        <v>0.0284775849483971</v>
      </c>
      <c r="F5" s="19" t="n">
        <v>0.103</v>
      </c>
      <c r="G5" s="19" t="n">
        <v>0.128</v>
      </c>
      <c r="H5" s="10" t="s">
        <v>91</v>
      </c>
    </row>
    <row r="6" customFormat="false" ht="13.5" hidden="false" customHeight="true" outlineLevel="0" collapsed="false">
      <c r="A6" s="7" t="s">
        <v>92</v>
      </c>
      <c r="B6" s="17" t="n">
        <v>35</v>
      </c>
      <c r="C6" s="17" t="n">
        <v>58</v>
      </c>
      <c r="D6" s="17" t="n">
        <v>95</v>
      </c>
      <c r="E6" s="18" t="n">
        <f aca="false">((D6/C6)^(1/26))-1</f>
        <v>0.0191594573959035</v>
      </c>
      <c r="F6" s="19" t="n">
        <v>0.168</v>
      </c>
      <c r="G6" s="19" t="n">
        <v>0.192</v>
      </c>
      <c r="H6" s="10" t="s">
        <v>93</v>
      </c>
    </row>
    <row r="7" customFormat="false" ht="13.5" hidden="false" customHeight="true" outlineLevel="0" collapsed="false">
      <c r="A7" s="10" t="s">
        <v>94</v>
      </c>
      <c r="B7" s="17" t="n">
        <v>74</v>
      </c>
      <c r="C7" s="17" t="n">
        <v>110</v>
      </c>
      <c r="D7" s="17" t="n">
        <v>160</v>
      </c>
      <c r="E7" s="18" t="n">
        <f aca="false">((D7/C7)^(1/26))-1</f>
        <v>0.0145156297440245</v>
      </c>
      <c r="F7" s="19" t="n">
        <v>0.101</v>
      </c>
      <c r="G7" s="19" t="n">
        <v>0.124</v>
      </c>
      <c r="H7" s="10" t="s">
        <v>95</v>
      </c>
    </row>
    <row r="8" customFormat="false" ht="13.5" hidden="false" customHeight="true" outlineLevel="0" collapsed="false">
      <c r="A8" s="7" t="s">
        <v>96</v>
      </c>
      <c r="B8" s="17" t="n">
        <v>88</v>
      </c>
      <c r="C8" s="17" t="n">
        <v>209</v>
      </c>
      <c r="D8" s="17" t="n">
        <v>385</v>
      </c>
      <c r="E8" s="18" t="n">
        <f aca="false">((D8/C8)^(1/26))-1</f>
        <v>0.0237747207703927</v>
      </c>
      <c r="F8" s="19" t="n">
        <v>0.065</v>
      </c>
      <c r="G8" s="19" t="n">
        <v>0.091</v>
      </c>
      <c r="H8" s="10" t="s">
        <v>97</v>
      </c>
    </row>
    <row r="9" customFormat="false" ht="13.5" hidden="false" customHeight="true" outlineLevel="0" collapsed="false">
      <c r="A9" s="10" t="s">
        <v>98</v>
      </c>
      <c r="B9" s="17" t="n">
        <v>22</v>
      </c>
      <c r="C9" s="17" t="n">
        <v>36</v>
      </c>
      <c r="D9" s="17" t="n">
        <v>39</v>
      </c>
      <c r="E9" s="18" t="n">
        <f aca="false">((D9/C9)^(1/26))-1</f>
        <v>0.0030833093297038</v>
      </c>
      <c r="F9" s="19" t="n">
        <v>0.111</v>
      </c>
      <c r="G9" s="19" t="n">
        <v>0.13</v>
      </c>
      <c r="H9" s="10" t="s">
        <v>95</v>
      </c>
    </row>
    <row r="10" customFormat="false" ht="13.5" hidden="false" customHeight="true" outlineLevel="0" collapsed="false">
      <c r="A10" s="7" t="s">
        <v>99</v>
      </c>
      <c r="B10" s="17" t="n">
        <v>201</v>
      </c>
      <c r="C10" s="17" t="n">
        <v>358</v>
      </c>
      <c r="D10" s="17" t="n">
        <v>921</v>
      </c>
      <c r="E10" s="18" t="n">
        <f aca="false">((D10/C10)^(1/26))-1</f>
        <v>0.0370118413880338</v>
      </c>
      <c r="F10" s="19" t="n">
        <v>0.062</v>
      </c>
      <c r="G10" s="19" t="n">
        <v>0.088</v>
      </c>
      <c r="H10" s="10" t="s">
        <v>100</v>
      </c>
    </row>
    <row r="11" customFormat="false" ht="6" hidden="false" customHeight="true" outlineLevel="0" collapsed="false"/>
    <row r="12" customFormat="false" ht="12" hidden="false" customHeight="true" outlineLevel="0" collapsed="false">
      <c r="A12" s="20" t="s">
        <v>101</v>
      </c>
      <c r="B12" s="20"/>
      <c r="C12" s="20"/>
      <c r="D12" s="20"/>
      <c r="E12" s="20"/>
      <c r="F12" s="20"/>
      <c r="G12" s="20"/>
      <c r="H12" s="20"/>
      <c r="I12" s="20"/>
      <c r="J12" s="20"/>
    </row>
    <row r="14" customFormat="false" ht="15" hidden="false" customHeight="false" outlineLevel="0" collapsed="false">
      <c r="A14" s="15" t="s">
        <v>102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3.5" hidden="false" customHeight="true" outlineLevel="0" collapsed="false">
      <c r="A15" s="16" t="s">
        <v>103</v>
      </c>
      <c r="B15" s="16" t="s">
        <v>104</v>
      </c>
      <c r="C15" s="16" t="s">
        <v>105</v>
      </c>
      <c r="D15" s="16" t="s">
        <v>106</v>
      </c>
      <c r="E15" s="16" t="s">
        <v>107</v>
      </c>
      <c r="F15" s="16" t="s">
        <v>108</v>
      </c>
      <c r="G15" s="16" t="s">
        <v>109</v>
      </c>
    </row>
    <row r="16" customFormat="false" ht="13.5" hidden="false" customHeight="true" outlineLevel="0" collapsed="false">
      <c r="A16" s="21" t="n">
        <v>2022</v>
      </c>
      <c r="B16" s="22" t="n">
        <v>3.5</v>
      </c>
      <c r="C16" s="22" t="n">
        <v>0.5</v>
      </c>
      <c r="D16" s="22" t="n">
        <v>0.2</v>
      </c>
      <c r="E16" s="22" t="n">
        <v>0</v>
      </c>
      <c r="F16" s="23" t="n">
        <f aca="false">SUM(B16:E16)</f>
        <v>4.2</v>
      </c>
      <c r="G16" s="12" t="s">
        <v>110</v>
      </c>
    </row>
    <row r="17" customFormat="false" ht="13.5" hidden="false" customHeight="true" outlineLevel="0" collapsed="false">
      <c r="A17" s="24" t="n">
        <v>2023</v>
      </c>
      <c r="B17" s="22" t="n">
        <v>12.4</v>
      </c>
      <c r="C17" s="22" t="n">
        <v>1.8</v>
      </c>
      <c r="D17" s="22" t="n">
        <v>0.5</v>
      </c>
      <c r="E17" s="22" t="n">
        <v>0.1</v>
      </c>
      <c r="F17" s="23" t="n">
        <f aca="false">SUM(B17:E17)</f>
        <v>14.8</v>
      </c>
      <c r="G17" s="25" t="n">
        <f aca="false">(F17-F16)/F16</f>
        <v>2.52380952380952</v>
      </c>
    </row>
    <row r="18" customFormat="false" ht="13.5" hidden="false" customHeight="true" outlineLevel="0" collapsed="false">
      <c r="A18" s="21" t="n">
        <v>2024</v>
      </c>
      <c r="B18" s="22" t="n">
        <v>28</v>
      </c>
      <c r="C18" s="22" t="n">
        <v>5.2</v>
      </c>
      <c r="D18" s="22" t="n">
        <v>1.4</v>
      </c>
      <c r="E18" s="22" t="n">
        <v>0.4</v>
      </c>
      <c r="F18" s="23" t="n">
        <f aca="false">SUM(B18:E18)</f>
        <v>35</v>
      </c>
      <c r="G18" s="25" t="n">
        <f aca="false">(F18-F17)/F17</f>
        <v>1.36486486486486</v>
      </c>
    </row>
    <row r="19" customFormat="false" ht="13.5" hidden="false" customHeight="true" outlineLevel="0" collapsed="false">
      <c r="A19" s="24" t="n">
        <v>2025</v>
      </c>
      <c r="B19" s="22" t="n">
        <v>46</v>
      </c>
      <c r="C19" s="22" t="n">
        <v>9</v>
      </c>
      <c r="D19" s="22" t="n">
        <v>3.2</v>
      </c>
      <c r="E19" s="22" t="n">
        <v>1.2</v>
      </c>
      <c r="F19" s="23" t="n">
        <f aca="false">SUM(B19:E19)</f>
        <v>59.4</v>
      </c>
      <c r="G19" s="25" t="n">
        <f aca="false">(F19-F18)/F18</f>
        <v>0.697142857142857</v>
      </c>
    </row>
    <row r="20" customFormat="false" ht="13.5" hidden="false" customHeight="true" outlineLevel="0" collapsed="false">
      <c r="A20" s="21" t="n">
        <v>2026</v>
      </c>
      <c r="B20" s="22" t="n">
        <v>66</v>
      </c>
      <c r="C20" s="22" t="n">
        <v>14</v>
      </c>
      <c r="D20" s="22" t="n">
        <v>6</v>
      </c>
      <c r="E20" s="22" t="n">
        <v>2.5</v>
      </c>
      <c r="F20" s="23" t="n">
        <f aca="false">SUM(B20:E20)</f>
        <v>88.5</v>
      </c>
      <c r="G20" s="25" t="n">
        <f aca="false">(F20-F19)/F19</f>
        <v>0.48989898989899</v>
      </c>
    </row>
    <row r="21" customFormat="false" ht="13.5" hidden="false" customHeight="true" outlineLevel="0" collapsed="false">
      <c r="A21" s="24" t="n">
        <v>2027</v>
      </c>
      <c r="B21" s="22" t="n">
        <v>88</v>
      </c>
      <c r="C21" s="22" t="n">
        <v>20</v>
      </c>
      <c r="D21" s="22" t="n">
        <v>9.5</v>
      </c>
      <c r="E21" s="22" t="n">
        <v>4</v>
      </c>
      <c r="F21" s="23" t="n">
        <f aca="false">SUM(B21:E21)</f>
        <v>121.5</v>
      </c>
      <c r="G21" s="25" t="n">
        <f aca="false">(F21-F20)/F20</f>
        <v>0.372881355932203</v>
      </c>
    </row>
    <row r="22" customFormat="false" ht="13.5" hidden="false" customHeight="true" outlineLevel="0" collapsed="false">
      <c r="A22" s="21" t="n">
        <v>2028</v>
      </c>
      <c r="B22" s="22" t="n">
        <v>108</v>
      </c>
      <c r="C22" s="22" t="n">
        <v>26</v>
      </c>
      <c r="D22" s="22" t="n">
        <v>13</v>
      </c>
      <c r="E22" s="22" t="n">
        <v>5.5</v>
      </c>
      <c r="F22" s="23" t="n">
        <f aca="false">SUM(B22:E22)</f>
        <v>152.5</v>
      </c>
      <c r="G22" s="25" t="n">
        <f aca="false">(F22-F21)/F21</f>
        <v>0.255144032921811</v>
      </c>
    </row>
    <row r="23" customFormat="false" ht="13.5" hidden="false" customHeight="true" outlineLevel="0" collapsed="false">
      <c r="A23" s="24" t="n">
        <v>2029</v>
      </c>
      <c r="B23" s="22" t="n">
        <v>118</v>
      </c>
      <c r="C23" s="22" t="n">
        <v>30</v>
      </c>
      <c r="D23" s="22" t="n">
        <v>15.5</v>
      </c>
      <c r="E23" s="22" t="n">
        <v>6.5</v>
      </c>
      <c r="F23" s="23" t="n">
        <f aca="false">SUM(B23:E23)</f>
        <v>170</v>
      </c>
      <c r="G23" s="25" t="n">
        <f aca="false">(F23-F22)/F22</f>
        <v>0.114754098360656</v>
      </c>
    </row>
    <row r="24" customFormat="false" ht="13.5" hidden="false" customHeight="true" outlineLevel="0" collapsed="false">
      <c r="A24" s="21" t="n">
        <v>2030</v>
      </c>
      <c r="B24" s="22" t="n">
        <v>130</v>
      </c>
      <c r="C24" s="22" t="n">
        <v>35</v>
      </c>
      <c r="D24" s="22" t="n">
        <v>18</v>
      </c>
      <c r="E24" s="22" t="n">
        <v>7.5</v>
      </c>
      <c r="F24" s="23" t="n">
        <f aca="false">SUM(B24:E24)</f>
        <v>190.5</v>
      </c>
      <c r="G24" s="25" t="n">
        <f aca="false">(F24-F23)/F23</f>
        <v>0.120588235294118</v>
      </c>
    </row>
    <row r="25" customFormat="false" ht="6" hidden="false" customHeight="true" outlineLevel="0" collapsed="false"/>
    <row r="26" customFormat="false" ht="15.75" hidden="false" customHeight="true" outlineLevel="0" collapsed="false">
      <c r="A26" s="20" t="s">
        <v>111</v>
      </c>
      <c r="B26" s="20"/>
      <c r="C26" s="20"/>
      <c r="D26" s="20"/>
      <c r="E26" s="20"/>
      <c r="F26" s="20"/>
      <c r="G26" s="20"/>
      <c r="H26" s="20"/>
      <c r="I26" s="20"/>
      <c r="J26" s="20"/>
    </row>
    <row r="28" customFormat="false" ht="15" hidden="false" customHeight="false" outlineLevel="0" collapsed="false">
      <c r="A28" s="15" t="s">
        <v>112</v>
      </c>
      <c r="B28" s="15"/>
      <c r="C28" s="15"/>
      <c r="D28" s="15"/>
      <c r="E28" s="15"/>
      <c r="F28" s="15"/>
      <c r="G28" s="15"/>
      <c r="H28" s="15"/>
      <c r="I28" s="15"/>
      <c r="J28" s="15"/>
    </row>
    <row r="29" customFormat="false" ht="13.5" hidden="false" customHeight="true" outlineLevel="0" collapsed="false">
      <c r="A29" s="16" t="s">
        <v>113</v>
      </c>
      <c r="B29" s="16" t="s">
        <v>114</v>
      </c>
      <c r="C29" s="16" t="s">
        <v>115</v>
      </c>
      <c r="D29" s="16" t="s">
        <v>116</v>
      </c>
      <c r="E29" s="16" t="s">
        <v>117</v>
      </c>
      <c r="F29" s="16" t="s">
        <v>118</v>
      </c>
      <c r="G29" s="16" t="s">
        <v>119</v>
      </c>
      <c r="H29" s="16" t="s">
        <v>120</v>
      </c>
    </row>
    <row r="30" customFormat="false" ht="15" hidden="false" customHeight="true" outlineLevel="0" collapsed="false">
      <c r="A30" s="10" t="s">
        <v>121</v>
      </c>
      <c r="B30" s="26" t="n">
        <v>12</v>
      </c>
      <c r="C30" s="26" t="n">
        <v>4</v>
      </c>
      <c r="D30" s="25" t="n">
        <f aca="false">(C30-B30)/B30</f>
        <v>-0.666666666666667</v>
      </c>
      <c r="E30" s="17" t="n">
        <v>15</v>
      </c>
      <c r="F30" s="17" t="n">
        <v>6</v>
      </c>
      <c r="G30" s="25" t="n">
        <f aca="false">(F30-E30)/E30</f>
        <v>-0.6</v>
      </c>
      <c r="H30" s="10" t="s">
        <v>122</v>
      </c>
    </row>
    <row r="31" customFormat="false" ht="15" hidden="false" customHeight="true" outlineLevel="0" collapsed="false">
      <c r="A31" s="7" t="s">
        <v>123</v>
      </c>
      <c r="B31" s="26" t="n">
        <v>18</v>
      </c>
      <c r="C31" s="26" t="n">
        <v>6</v>
      </c>
      <c r="D31" s="25" t="n">
        <f aca="false">(C31-B31)/B31</f>
        <v>-0.666666666666667</v>
      </c>
      <c r="E31" s="17" t="n">
        <v>25</v>
      </c>
      <c r="F31" s="17" t="n">
        <v>10</v>
      </c>
      <c r="G31" s="25" t="n">
        <f aca="false">(F31-E31)/E31</f>
        <v>-0.6</v>
      </c>
      <c r="H31" s="10" t="s">
        <v>124</v>
      </c>
    </row>
    <row r="32" customFormat="false" ht="15" hidden="false" customHeight="true" outlineLevel="0" collapsed="false">
      <c r="A32" s="10" t="s">
        <v>125</v>
      </c>
      <c r="B32" s="26" t="n">
        <v>24</v>
      </c>
      <c r="C32" s="26" t="n">
        <v>14</v>
      </c>
      <c r="D32" s="25" t="n">
        <f aca="false">(C32-B32)/B32</f>
        <v>-0.416666666666667</v>
      </c>
      <c r="E32" s="17" t="n">
        <v>40</v>
      </c>
      <c r="F32" s="17" t="n">
        <v>22</v>
      </c>
      <c r="G32" s="25" t="n">
        <f aca="false">(F32-E32)/E32</f>
        <v>-0.45</v>
      </c>
      <c r="H32" s="10" t="s">
        <v>126</v>
      </c>
    </row>
    <row r="33" customFormat="false" ht="15" hidden="false" customHeight="true" outlineLevel="0" collapsed="false">
      <c r="A33" s="7" t="s">
        <v>127</v>
      </c>
      <c r="B33" s="26" t="n">
        <v>18</v>
      </c>
      <c r="C33" s="26" t="n">
        <v>12</v>
      </c>
      <c r="D33" s="25" t="n">
        <f aca="false">(C33-B33)/B33</f>
        <v>-0.333333333333333</v>
      </c>
      <c r="E33" s="17" t="n">
        <v>35</v>
      </c>
      <c r="F33" s="17" t="n">
        <v>25</v>
      </c>
      <c r="G33" s="25" t="n">
        <f aca="false">(F33-E33)/E33</f>
        <v>-0.285714285714286</v>
      </c>
      <c r="H33" s="10" t="s">
        <v>128</v>
      </c>
    </row>
    <row r="34" customFormat="false" ht="15" hidden="false" customHeight="true" outlineLevel="0" collapsed="false">
      <c r="A34" s="10" t="s">
        <v>129</v>
      </c>
      <c r="B34" s="26" t="n">
        <v>18</v>
      </c>
      <c r="C34" s="26" t="n">
        <v>16</v>
      </c>
      <c r="D34" s="25" t="n">
        <f aca="false">(C34-B34)/B34</f>
        <v>-0.111111111111111</v>
      </c>
      <c r="E34" s="17" t="n">
        <v>100</v>
      </c>
      <c r="F34" s="17" t="n">
        <v>90</v>
      </c>
      <c r="G34" s="25" t="n">
        <f aca="false">(F34-E34)/E34</f>
        <v>-0.1</v>
      </c>
      <c r="H34" s="10" t="s">
        <v>130</v>
      </c>
    </row>
    <row r="35" customFormat="false" ht="15" hidden="false" customHeight="true" outlineLevel="0" collapsed="false">
      <c r="A35" s="7" t="s">
        <v>131</v>
      </c>
      <c r="B35" s="26" t="n">
        <v>30</v>
      </c>
      <c r="C35" s="26" t="n">
        <v>26</v>
      </c>
      <c r="D35" s="25" t="n">
        <f aca="false">(C35-B35)/B35</f>
        <v>-0.133333333333333</v>
      </c>
      <c r="E35" s="17" t="n">
        <v>250</v>
      </c>
      <c r="F35" s="17" t="n">
        <v>210</v>
      </c>
      <c r="G35" s="25" t="n">
        <f aca="false">(F35-E35)/E35</f>
        <v>-0.16</v>
      </c>
      <c r="H35" s="10" t="s">
        <v>132</v>
      </c>
    </row>
    <row r="36" customFormat="false" ht="15" hidden="false" customHeight="true" outlineLevel="0" collapsed="false">
      <c r="A36" s="10" t="s">
        <v>133</v>
      </c>
      <c r="B36" s="26" t="n">
        <v>48</v>
      </c>
      <c r="C36" s="26" t="n">
        <v>42</v>
      </c>
      <c r="D36" s="25" t="n">
        <f aca="false">(C36-B36)/B36</f>
        <v>-0.125</v>
      </c>
      <c r="E36" s="17" t="n">
        <v>800</v>
      </c>
      <c r="F36" s="17" t="n">
        <v>720</v>
      </c>
      <c r="G36" s="25" t="n">
        <f aca="false">(F36-E36)/E36</f>
        <v>-0.1</v>
      </c>
      <c r="H36" s="10" t="s">
        <v>134</v>
      </c>
    </row>
    <row r="38" customFormat="false" ht="15.75" hidden="false" customHeight="true" outlineLevel="0" collapsed="false">
      <c r="A38" s="20" t="s">
        <v>135</v>
      </c>
      <c r="B38" s="20"/>
      <c r="C38" s="20"/>
      <c r="D38" s="20"/>
      <c r="E38" s="20"/>
      <c r="F38" s="20"/>
      <c r="G38" s="20"/>
      <c r="H38" s="20"/>
      <c r="I38" s="20"/>
      <c r="J38" s="20"/>
    </row>
  </sheetData>
  <mergeCells count="7">
    <mergeCell ref="A1:J1"/>
    <mergeCell ref="A3:J3"/>
    <mergeCell ref="A12:J12"/>
    <mergeCell ref="A14:J14"/>
    <mergeCell ref="A26:J26"/>
    <mergeCell ref="A28:J28"/>
    <mergeCell ref="A38:J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28"/>
  </cols>
  <sheetData>
    <row r="1" customFormat="false" ht="27.75" hidden="false" customHeight="true" outlineLevel="0" collapsed="false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15" hidden="false" customHeight="false" outlineLevel="0" collapsed="false">
      <c r="A3" s="15" t="s">
        <v>137</v>
      </c>
      <c r="B3" s="15"/>
      <c r="C3" s="15"/>
      <c r="D3" s="15"/>
      <c r="E3" s="15"/>
      <c r="F3" s="15"/>
      <c r="G3" s="15"/>
      <c r="H3" s="15"/>
      <c r="I3" s="15"/>
      <c r="J3" s="15"/>
      <c r="K3" s="15"/>
    </row>
    <row r="4" customFormat="false" ht="30" hidden="false" customHeight="true" outlineLevel="0" collapsed="false">
      <c r="A4" s="16" t="s">
        <v>103</v>
      </c>
      <c r="B4" s="16" t="s">
        <v>138</v>
      </c>
      <c r="C4" s="16" t="s">
        <v>139</v>
      </c>
      <c r="D4" s="16" t="s">
        <v>140</v>
      </c>
      <c r="E4" s="16" t="s">
        <v>141</v>
      </c>
      <c r="F4" s="16" t="s">
        <v>142</v>
      </c>
      <c r="G4" s="16" t="s">
        <v>143</v>
      </c>
      <c r="H4" s="16" t="s">
        <v>144</v>
      </c>
      <c r="I4" s="16" t="s">
        <v>145</v>
      </c>
      <c r="J4" s="16" t="s">
        <v>146</v>
      </c>
      <c r="K4" s="16" t="s">
        <v>147</v>
      </c>
    </row>
    <row r="5" customFormat="false" ht="13.5" hidden="false" customHeight="true" outlineLevel="0" collapsed="false">
      <c r="A5" s="21" t="n">
        <v>2014</v>
      </c>
      <c r="B5" s="27" t="n">
        <v>6.8</v>
      </c>
      <c r="C5" s="12" t="s">
        <v>110</v>
      </c>
      <c r="D5" s="28" t="n">
        <v>0.0254</v>
      </c>
      <c r="E5" s="27" t="n">
        <v>14.2</v>
      </c>
      <c r="F5" s="19" t="n">
        <v>0.134</v>
      </c>
      <c r="G5" s="19" t="n">
        <v>0.034</v>
      </c>
      <c r="H5" s="18" t="n">
        <f aca="false">G5-F5</f>
        <v>-0.1</v>
      </c>
      <c r="I5" s="26" t="n">
        <v>1</v>
      </c>
      <c r="J5" s="29" t="n">
        <f aca="false">INTERCEPT($B$5:$B$15,$I$5:$I$15)+SLOPE($B$5:$B$15,$I$5:$I$15)*I5</f>
        <v>6.62727272727273</v>
      </c>
      <c r="K5" s="29" t="n">
        <f aca="false">B5-J5</f>
        <v>0.172727272727273</v>
      </c>
    </row>
    <row r="6" customFormat="false" ht="13.5" hidden="false" customHeight="true" outlineLevel="0" collapsed="false">
      <c r="A6" s="24" t="n">
        <v>2015</v>
      </c>
      <c r="B6" s="27" t="n">
        <v>7.2</v>
      </c>
      <c r="C6" s="18" t="n">
        <f aca="false">(B6-B5)/B5</f>
        <v>0.0588235294117648</v>
      </c>
      <c r="D6" s="28" t="n">
        <v>0.0214</v>
      </c>
      <c r="E6" s="27" t="n">
        <v>16.7</v>
      </c>
      <c r="F6" s="19" t="n">
        <v>0.014</v>
      </c>
      <c r="G6" s="19" t="n">
        <v>0.118</v>
      </c>
      <c r="H6" s="18" t="n">
        <f aca="false">G6-F6</f>
        <v>0.104</v>
      </c>
      <c r="I6" s="26" t="n">
        <v>2</v>
      </c>
      <c r="J6" s="29" t="n">
        <f aca="false">INTERCEPT($B$5:$B$15,$I$5:$I$15)+SLOPE($B$5:$B$15,$I$5:$I$15)*I6</f>
        <v>6.51818181818182</v>
      </c>
      <c r="K6" s="29" t="n">
        <f aca="false">B6-J6</f>
        <v>0.681818181818182</v>
      </c>
    </row>
    <row r="7" customFormat="false" ht="13.5" hidden="false" customHeight="true" outlineLevel="0" collapsed="false">
      <c r="A7" s="21" t="n">
        <v>2016</v>
      </c>
      <c r="B7" s="27" t="n">
        <v>5.4</v>
      </c>
      <c r="C7" s="18" t="n">
        <f aca="false">(B7-B6)/B6</f>
        <v>-0.25</v>
      </c>
      <c r="D7" s="28" t="n">
        <v>0.0245</v>
      </c>
      <c r="E7" s="27" t="n">
        <v>15.8</v>
      </c>
      <c r="F7" s="19" t="n">
        <v>0.12</v>
      </c>
      <c r="G7" s="19" t="n">
        <v>-0.213</v>
      </c>
      <c r="H7" s="18" t="n">
        <f aca="false">G7-F7</f>
        <v>-0.333</v>
      </c>
      <c r="I7" s="26" t="n">
        <v>3</v>
      </c>
      <c r="J7" s="29" t="n">
        <f aca="false">INTERCEPT($B$5:$B$15,$I$5:$I$15)+SLOPE($B$5:$B$15,$I$5:$I$15)*I7</f>
        <v>6.40909090909091</v>
      </c>
      <c r="K7" s="29" t="n">
        <f aca="false">B7-J7</f>
        <v>-1.00909090909091</v>
      </c>
    </row>
    <row r="8" customFormat="false" ht="13.5" hidden="false" customHeight="true" outlineLevel="0" collapsed="false">
      <c r="A8" s="24" t="n">
        <v>2017</v>
      </c>
      <c r="B8" s="27" t="n">
        <v>5.9</v>
      </c>
      <c r="C8" s="18" t="n">
        <f aca="false">(B8-B7)/B7</f>
        <v>0.0925925925925926</v>
      </c>
      <c r="D8" s="28" t="n">
        <v>0.0241</v>
      </c>
      <c r="E8" s="27" t="n">
        <v>11.1</v>
      </c>
      <c r="F8" s="19" t="n">
        <v>0.216</v>
      </c>
      <c r="G8" s="19" t="n">
        <v>0.441</v>
      </c>
      <c r="H8" s="18" t="n">
        <f aca="false">G8-F8</f>
        <v>0.225</v>
      </c>
      <c r="I8" s="26" t="n">
        <v>4</v>
      </c>
      <c r="J8" s="29" t="n">
        <f aca="false">INTERCEPT($B$5:$B$15,$I$5:$I$15)+SLOPE($B$5:$B$15,$I$5:$I$15)*I8</f>
        <v>6.3</v>
      </c>
      <c r="K8" s="29" t="n">
        <f aca="false">B8-J8</f>
        <v>-0.399999999999999</v>
      </c>
    </row>
    <row r="9" customFormat="false" ht="13.5" hidden="false" customHeight="true" outlineLevel="0" collapsed="false">
      <c r="A9" s="21" t="n">
        <v>2018</v>
      </c>
      <c r="B9" s="27" t="n">
        <v>5.1</v>
      </c>
      <c r="C9" s="18" t="n">
        <f aca="false">(B9-B8)/B8</f>
        <v>-0.135593220338983</v>
      </c>
      <c r="D9" s="28" t="n">
        <v>0.0291</v>
      </c>
      <c r="E9" s="27" t="n">
        <v>16.6</v>
      </c>
      <c r="F9" s="19" t="n">
        <v>-0.043</v>
      </c>
      <c r="G9" s="19" t="n">
        <v>0.082</v>
      </c>
      <c r="H9" s="18" t="n">
        <f aca="false">G9-F9</f>
        <v>0.125</v>
      </c>
      <c r="I9" s="26" t="n">
        <v>5</v>
      </c>
      <c r="J9" s="29" t="n">
        <f aca="false">INTERCEPT($B$5:$B$15,$I$5:$I$15)+SLOPE($B$5:$B$15,$I$5:$I$15)*I9</f>
        <v>6.19090909090909</v>
      </c>
      <c r="K9" s="29" t="n">
        <f aca="false">B9-J9</f>
        <v>-1.09090909090909</v>
      </c>
    </row>
    <row r="10" customFormat="false" ht="13.5" hidden="false" customHeight="true" outlineLevel="0" collapsed="false">
      <c r="A10" s="24" t="n">
        <v>2019</v>
      </c>
      <c r="B10" s="27" t="n">
        <v>5.6</v>
      </c>
      <c r="C10" s="18" t="n">
        <f aca="false">(B10-B9)/B9</f>
        <v>0.0980392156862745</v>
      </c>
      <c r="D10" s="28" t="n">
        <v>0.0214</v>
      </c>
      <c r="E10" s="27" t="n">
        <v>15.4</v>
      </c>
      <c r="F10" s="19" t="n">
        <v>0.313</v>
      </c>
      <c r="G10" s="19" t="n">
        <v>0.279</v>
      </c>
      <c r="H10" s="18" t="n">
        <f aca="false">G10-F10</f>
        <v>-0.034</v>
      </c>
      <c r="I10" s="26" t="n">
        <v>6</v>
      </c>
      <c r="J10" s="29" t="n">
        <f aca="false">INTERCEPT($B$5:$B$15,$I$5:$I$15)+SLOPE($B$5:$B$15,$I$5:$I$15)*I10</f>
        <v>6.08181818181818</v>
      </c>
      <c r="K10" s="29" t="n">
        <f aca="false">B10-J10</f>
        <v>-0.481818181818182</v>
      </c>
    </row>
    <row r="11" customFormat="false" ht="13.5" hidden="false" customHeight="true" outlineLevel="0" collapsed="false">
      <c r="A11" s="21" t="n">
        <v>2020</v>
      </c>
      <c r="B11" s="27" t="n">
        <v>7.3</v>
      </c>
      <c r="C11" s="18" t="n">
        <f aca="false">(B11-B10)/B10</f>
        <v>0.303571428571429</v>
      </c>
      <c r="D11" s="28" t="n">
        <v>0.0093</v>
      </c>
      <c r="E11" s="27" t="n">
        <v>24.5</v>
      </c>
      <c r="F11" s="19" t="n">
        <v>0.183</v>
      </c>
      <c r="G11" s="19" t="n">
        <v>0.485</v>
      </c>
      <c r="H11" s="18" t="n">
        <f aca="false">G11-F11</f>
        <v>0.302</v>
      </c>
      <c r="I11" s="26" t="n">
        <v>7</v>
      </c>
      <c r="J11" s="29" t="n">
        <f aca="false">INTERCEPT($B$5:$B$15,$I$5:$I$15)+SLOPE($B$5:$B$15,$I$5:$I$15)*I11</f>
        <v>5.97272727272727</v>
      </c>
      <c r="K11" s="29" t="n">
        <f aca="false">B11-J11</f>
        <v>1.32727272727273</v>
      </c>
    </row>
    <row r="12" customFormat="false" ht="13.5" hidden="false" customHeight="true" outlineLevel="0" collapsed="false">
      <c r="A12" s="24" t="n">
        <v>2021</v>
      </c>
      <c r="B12" s="27" t="n">
        <v>9.4</v>
      </c>
      <c r="C12" s="18" t="n">
        <f aca="false">(B12-B11)/B11</f>
        <v>0.287671232876712</v>
      </c>
      <c r="D12" s="28" t="n">
        <v>0.0152</v>
      </c>
      <c r="E12" s="27" t="n">
        <v>19.7</v>
      </c>
      <c r="F12" s="19" t="n">
        <v>0.267</v>
      </c>
      <c r="G12" s="19" t="n">
        <v>-0.216</v>
      </c>
      <c r="H12" s="18" t="n">
        <f aca="false">G12-F12</f>
        <v>-0.483</v>
      </c>
      <c r="I12" s="26" t="n">
        <v>8</v>
      </c>
      <c r="J12" s="29" t="n">
        <f aca="false">INTERCEPT($B$5:$B$15,$I$5:$I$15)+SLOPE($B$5:$B$15,$I$5:$I$15)*I12</f>
        <v>5.86363636363636</v>
      </c>
      <c r="K12" s="29" t="n">
        <f aca="false">B12-J12</f>
        <v>3.53636363636364</v>
      </c>
    </row>
    <row r="13" customFormat="false" ht="13.5" hidden="false" customHeight="true" outlineLevel="0" collapsed="false">
      <c r="A13" s="21" t="n">
        <v>2022</v>
      </c>
      <c r="B13" s="27" t="n">
        <v>4.2</v>
      </c>
      <c r="C13" s="18" t="n">
        <f aca="false">(B13-B12)/B12</f>
        <v>-0.553191489361702</v>
      </c>
      <c r="D13" s="28" t="n">
        <v>0.0388</v>
      </c>
      <c r="E13" s="27" t="n">
        <v>26.5</v>
      </c>
      <c r="F13" s="19" t="n">
        <v>-0.181</v>
      </c>
      <c r="G13" s="19" t="n">
        <v>-0.454</v>
      </c>
      <c r="H13" s="18" t="n">
        <f aca="false">G13-F13</f>
        <v>-0.273</v>
      </c>
      <c r="I13" s="26" t="n">
        <v>9</v>
      </c>
      <c r="J13" s="29" t="n">
        <f aca="false">INTERCEPT($B$5:$B$15,$I$5:$I$15)+SLOPE($B$5:$B$15,$I$5:$I$15)*I13</f>
        <v>5.75454545454546</v>
      </c>
      <c r="K13" s="29" t="n">
        <f aca="false">B13-J13</f>
        <v>-1.55454545454545</v>
      </c>
    </row>
    <row r="14" customFormat="false" ht="13.5" hidden="false" customHeight="true" outlineLevel="0" collapsed="false">
      <c r="A14" s="24" t="n">
        <v>2023</v>
      </c>
      <c r="B14" s="27" t="n">
        <v>4.8</v>
      </c>
      <c r="C14" s="18" t="n">
        <f aca="false">(B14-B13)/B13</f>
        <v>0.142857142857143</v>
      </c>
      <c r="D14" s="28" t="n">
        <v>0.0397</v>
      </c>
      <c r="E14" s="27" t="n">
        <v>16.8</v>
      </c>
      <c r="F14" s="19" t="n">
        <v>0.244</v>
      </c>
      <c r="G14" s="19" t="n">
        <v>0.093</v>
      </c>
      <c r="H14" s="18" t="n">
        <f aca="false">G14-F14</f>
        <v>-0.151</v>
      </c>
      <c r="I14" s="26" t="n">
        <v>10</v>
      </c>
      <c r="J14" s="29" t="n">
        <f aca="false">INTERCEPT($B$5:$B$15,$I$5:$I$15)+SLOPE($B$5:$B$15,$I$5:$I$15)*I14</f>
        <v>5.64545454545455</v>
      </c>
      <c r="K14" s="29" t="n">
        <f aca="false">B14-J14</f>
        <v>-0.845454545454546</v>
      </c>
    </row>
    <row r="15" customFormat="false" ht="13.5" hidden="false" customHeight="true" outlineLevel="0" collapsed="false">
      <c r="A15" s="21" t="n">
        <v>2024</v>
      </c>
      <c r="B15" s="27" t="n">
        <v>5.2</v>
      </c>
      <c r="C15" s="18" t="n">
        <f aca="false">(B15-B14)/B14</f>
        <v>0.0833333333333334</v>
      </c>
      <c r="D15" s="28" t="n">
        <v>0.0425</v>
      </c>
      <c r="E15" s="27" t="n">
        <v>15.6</v>
      </c>
      <c r="F15" s="19" t="n">
        <v>0.232</v>
      </c>
      <c r="G15" s="19" t="n">
        <v>0.021</v>
      </c>
      <c r="H15" s="18" t="n">
        <f aca="false">G15-F15</f>
        <v>-0.211</v>
      </c>
      <c r="I15" s="26" t="n">
        <v>11</v>
      </c>
      <c r="J15" s="29" t="n">
        <f aca="false">INTERCEPT($B$5:$B$15,$I$5:$I$15)+SLOPE($B$5:$B$15,$I$5:$I$15)*I15</f>
        <v>5.53636363636364</v>
      </c>
      <c r="K15" s="29" t="n">
        <f aca="false">B15-J15</f>
        <v>-0.336363636363636</v>
      </c>
    </row>
    <row r="16" customFormat="false" ht="13.5" hidden="false" customHeight="true" outlineLevel="0" collapsed="false">
      <c r="A16" s="24" t="n">
        <v>2025</v>
      </c>
      <c r="B16" s="27" t="n">
        <v>5.5</v>
      </c>
      <c r="C16" s="18" t="n">
        <f aca="false">(B16-B15)/B15</f>
        <v>0.0576923076923077</v>
      </c>
      <c r="D16" s="28" t="n">
        <v>0.0428</v>
      </c>
      <c r="E16" s="27" t="n">
        <v>17.2</v>
      </c>
      <c r="F16" s="12" t="s">
        <v>148</v>
      </c>
      <c r="G16" s="12" t="s">
        <v>148</v>
      </c>
      <c r="H16" s="12" t="s">
        <v>110</v>
      </c>
      <c r="I16" s="26" t="n">
        <v>12</v>
      </c>
      <c r="J16" s="29" t="n">
        <f aca="false">INTERCEPT($B$5:$B$15,$I$5:$I$15)+SLOPE($B$5:$B$15,$I$5:$I$15)*I16</f>
        <v>5.42727272727273</v>
      </c>
      <c r="K16" s="29" t="n">
        <f aca="false">B16-J16</f>
        <v>0.0727272727272723</v>
      </c>
    </row>
    <row r="18" customFormat="false" ht="15" hidden="false" customHeight="false" outlineLevel="0" collapsed="false">
      <c r="A18" s="15" t="s">
        <v>149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</row>
    <row r="19" customFormat="false" ht="15" hidden="false" customHeight="false" outlineLevel="0" collapsed="false">
      <c r="A19" s="16" t="s">
        <v>150</v>
      </c>
      <c r="B19" s="16" t="s">
        <v>6</v>
      </c>
      <c r="C19" s="16" t="s">
        <v>151</v>
      </c>
    </row>
    <row r="20" customFormat="false" ht="13.5" hidden="false" customHeight="true" outlineLevel="0" collapsed="false">
      <c r="A20" s="10" t="s">
        <v>152</v>
      </c>
      <c r="B20" s="30" t="n">
        <f aca="false">COUNT(B5:B15)</f>
        <v>11</v>
      </c>
      <c r="C20" s="10" t="s">
        <v>153</v>
      </c>
    </row>
    <row r="21" customFormat="false" ht="13.5" hidden="false" customHeight="true" outlineLevel="0" collapsed="false">
      <c r="A21" s="7" t="s">
        <v>154</v>
      </c>
      <c r="B21" s="31" t="n">
        <f aca="false">SLOPE(B5:B15,I5:I15)</f>
        <v>-0.109090909090909</v>
      </c>
      <c r="C21" s="7" t="s">
        <v>155</v>
      </c>
    </row>
    <row r="22" customFormat="false" ht="13.5" hidden="false" customHeight="true" outlineLevel="0" collapsed="false">
      <c r="A22" s="10" t="s">
        <v>156</v>
      </c>
      <c r="B22" s="32" t="n">
        <f aca="false">INTERCEPT(B5:B15,I5:I15)</f>
        <v>6.73636363636364</v>
      </c>
      <c r="C22" s="10" t="s">
        <v>157</v>
      </c>
    </row>
    <row r="23" customFormat="false" ht="13.5" hidden="false" customHeight="true" outlineLevel="0" collapsed="false">
      <c r="A23" s="7" t="s">
        <v>158</v>
      </c>
      <c r="B23" s="33" t="n">
        <f aca="false">RSQ(B5:B15,I5:I15)</f>
        <v>0.0597312095569935</v>
      </c>
      <c r="C23" s="7" t="s">
        <v>159</v>
      </c>
    </row>
    <row r="24" customFormat="false" ht="13.5" hidden="false" customHeight="true" outlineLevel="0" collapsed="false">
      <c r="A24" s="10" t="s">
        <v>160</v>
      </c>
      <c r="B24" s="32" t="n">
        <f aca="false">CORREL(B5:B15,I5:I15)</f>
        <v>-0.244399692219515</v>
      </c>
      <c r="C24" s="10" t="s">
        <v>161</v>
      </c>
    </row>
    <row r="25" customFormat="false" ht="13.5" hidden="false" customHeight="true" outlineLevel="0" collapsed="false">
      <c r="A25" s="7" t="s">
        <v>162</v>
      </c>
      <c r="B25" s="34" t="n">
        <f aca="false">STEYX(B5:B15,I5:I15)</f>
        <v>1.51317446769927</v>
      </c>
      <c r="C25" s="7" t="s">
        <v>163</v>
      </c>
    </row>
    <row r="26" customFormat="false" ht="13.5" hidden="false" customHeight="true" outlineLevel="0" collapsed="false">
      <c r="A26" s="10" t="s">
        <v>164</v>
      </c>
      <c r="B26" s="35" t="n">
        <f aca="false">AVERAGE(B5:B15)</f>
        <v>6.08181818181818</v>
      </c>
      <c r="C26" s="10" t="s">
        <v>165</v>
      </c>
    </row>
    <row r="27" customFormat="false" ht="13.5" hidden="false" customHeight="true" outlineLevel="0" collapsed="false">
      <c r="A27" s="7" t="s">
        <v>166</v>
      </c>
      <c r="B27" s="36" t="n">
        <f aca="false">B16</f>
        <v>5.5</v>
      </c>
      <c r="C27" s="7" t="s">
        <v>167</v>
      </c>
    </row>
    <row r="28" customFormat="false" ht="13.5" hidden="false" customHeight="true" outlineLevel="0" collapsed="false">
      <c r="A28" s="10" t="s">
        <v>168</v>
      </c>
      <c r="B28" s="37" t="n">
        <f aca="false">B26/B25-1</f>
        <v>3.01924451650666</v>
      </c>
      <c r="C28" s="10" t="s">
        <v>169</v>
      </c>
    </row>
    <row r="29" customFormat="false" ht="13.5" hidden="false" customHeight="true" outlineLevel="0" collapsed="false">
      <c r="A29" s="7" t="s">
        <v>170</v>
      </c>
      <c r="B29" s="31" t="n">
        <f aca="false">(B26-B25)/B28</f>
        <v>1.51317446769927</v>
      </c>
      <c r="C29" s="7" t="s">
        <v>171</v>
      </c>
    </row>
    <row r="30" customFormat="false" ht="13.5" hidden="false" customHeight="true" outlineLevel="0" collapsed="false">
      <c r="A30" s="10" t="s">
        <v>172</v>
      </c>
      <c r="B30" s="35" t="n">
        <f aca="false">B25</f>
        <v>1.51317446769927</v>
      </c>
      <c r="C30" s="10" t="s">
        <v>173</v>
      </c>
    </row>
    <row r="31" customFormat="false" ht="13.5" hidden="false" customHeight="true" outlineLevel="0" collapsed="false">
      <c r="A31" s="7" t="s">
        <v>174</v>
      </c>
      <c r="B31" s="37" t="n">
        <f aca="false">B25/B26-1</f>
        <v>-0.751197023248252</v>
      </c>
      <c r="C31" s="7" t="s">
        <v>175</v>
      </c>
    </row>
    <row r="33" customFormat="false" ht="18" hidden="false" customHeight="true" outlineLevel="0" collapsed="false">
      <c r="A33" s="20" t="s">
        <v>176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</row>
  </sheetData>
  <mergeCells count="4">
    <mergeCell ref="A1:K1"/>
    <mergeCell ref="A3:K3"/>
    <mergeCell ref="A18:K18"/>
    <mergeCell ref="A33:K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9" min="8" style="0" width="16"/>
    <col collapsed="false" customWidth="true" hidden="false" outlineLevel="0" max="10" min="10" style="0" width="14"/>
  </cols>
  <sheetData>
    <row r="1" customFormat="false" ht="27.75" hidden="false" customHeight="tru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15" t="s">
        <v>178</v>
      </c>
      <c r="B3" s="15"/>
      <c r="C3" s="15"/>
      <c r="D3" s="15"/>
      <c r="E3" s="15"/>
      <c r="F3" s="15"/>
      <c r="G3" s="15"/>
      <c r="H3" s="15"/>
      <c r="I3" s="15"/>
      <c r="J3" s="15"/>
    </row>
    <row r="4" customFormat="false" ht="13.5" hidden="false" customHeight="true" outlineLevel="0" collapsed="false">
      <c r="A4" s="16" t="s">
        <v>103</v>
      </c>
      <c r="B4" s="16" t="s">
        <v>179</v>
      </c>
      <c r="C4" s="16" t="s">
        <v>180</v>
      </c>
      <c r="D4" s="16" t="s">
        <v>181</v>
      </c>
      <c r="E4" s="16" t="s">
        <v>182</v>
      </c>
      <c r="F4" s="16" t="s">
        <v>183</v>
      </c>
      <c r="G4" s="16" t="s">
        <v>184</v>
      </c>
      <c r="H4" s="16" t="s">
        <v>185</v>
      </c>
      <c r="I4" s="16" t="s">
        <v>186</v>
      </c>
      <c r="J4" s="16" t="s">
        <v>187</v>
      </c>
    </row>
    <row r="5" customFormat="false" ht="13.5" hidden="false" customHeight="true" outlineLevel="0" collapsed="false">
      <c r="A5" s="21" t="n">
        <v>2014</v>
      </c>
      <c r="B5" s="26" t="n">
        <v>30</v>
      </c>
      <c r="C5" s="26" t="n">
        <v>11</v>
      </c>
      <c r="D5" s="38" t="n">
        <f aca="false">B5+C5</f>
        <v>41</v>
      </c>
      <c r="E5" s="26" t="n">
        <v>14</v>
      </c>
      <c r="F5" s="26" t="n">
        <v>12</v>
      </c>
      <c r="G5" s="26" t="n">
        <v>7</v>
      </c>
      <c r="H5" s="26" t="n">
        <v>5</v>
      </c>
      <c r="I5" s="19" t="n">
        <v>0.852</v>
      </c>
      <c r="J5" s="12" t="s">
        <v>110</v>
      </c>
    </row>
    <row r="6" customFormat="false" ht="13.5" hidden="false" customHeight="true" outlineLevel="0" collapsed="false">
      <c r="A6" s="24" t="n">
        <v>2015</v>
      </c>
      <c r="B6" s="26" t="n">
        <v>33</v>
      </c>
      <c r="C6" s="26" t="n">
        <v>12</v>
      </c>
      <c r="D6" s="38" t="n">
        <f aca="false">B6+C6</f>
        <v>45</v>
      </c>
      <c r="E6" s="26" t="n">
        <v>17</v>
      </c>
      <c r="F6" s="26" t="n">
        <v>15</v>
      </c>
      <c r="G6" s="26" t="n">
        <v>8</v>
      </c>
      <c r="H6" s="26" t="n">
        <v>3</v>
      </c>
      <c r="I6" s="19" t="n">
        <v>0.878</v>
      </c>
      <c r="J6" s="39" t="n">
        <f aca="false">D6-D5</f>
        <v>4</v>
      </c>
    </row>
    <row r="7" customFormat="false" ht="13.5" hidden="false" customHeight="true" outlineLevel="0" collapsed="false">
      <c r="A7" s="21" t="n">
        <v>2016</v>
      </c>
      <c r="B7" s="26" t="n">
        <v>15</v>
      </c>
      <c r="C7" s="26" t="n">
        <v>7</v>
      </c>
      <c r="D7" s="38" t="n">
        <f aca="false">B7+C7</f>
        <v>22</v>
      </c>
      <c r="E7" s="26" t="n">
        <v>8</v>
      </c>
      <c r="F7" s="26" t="n">
        <v>9</v>
      </c>
      <c r="G7" s="26" t="n">
        <v>3</v>
      </c>
      <c r="H7" s="26" t="n">
        <v>2</v>
      </c>
      <c r="I7" s="19" t="n">
        <v>0.731</v>
      </c>
      <c r="J7" s="39" t="n">
        <f aca="false">D7-D6</f>
        <v>-23</v>
      </c>
    </row>
    <row r="8" customFormat="false" ht="13.5" hidden="false" customHeight="true" outlineLevel="0" collapsed="false">
      <c r="A8" s="24" t="n">
        <v>2017</v>
      </c>
      <c r="B8" s="26" t="n">
        <v>34</v>
      </c>
      <c r="C8" s="26" t="n">
        <v>12</v>
      </c>
      <c r="D8" s="38" t="n">
        <f aca="false">B8+C8</f>
        <v>46</v>
      </c>
      <c r="E8" s="26" t="n">
        <v>18</v>
      </c>
      <c r="F8" s="26" t="n">
        <v>13</v>
      </c>
      <c r="G8" s="26" t="n">
        <v>7</v>
      </c>
      <c r="H8" s="26" t="n">
        <v>5</v>
      </c>
      <c r="I8" s="19" t="n">
        <v>0.874</v>
      </c>
      <c r="J8" s="39" t="n">
        <f aca="false">D8-D7</f>
        <v>24</v>
      </c>
    </row>
    <row r="9" customFormat="false" ht="13.5" hidden="false" customHeight="true" outlineLevel="0" collapsed="false">
      <c r="A9" s="21" t="n">
        <v>2018</v>
      </c>
      <c r="B9" s="26" t="n">
        <v>42</v>
      </c>
      <c r="C9" s="26" t="n">
        <v>17</v>
      </c>
      <c r="D9" s="38" t="n">
        <f aca="false">B9+C9</f>
        <v>59</v>
      </c>
      <c r="E9" s="26" t="n">
        <v>22</v>
      </c>
      <c r="F9" s="26" t="n">
        <v>18</v>
      </c>
      <c r="G9" s="26" t="n">
        <v>10</v>
      </c>
      <c r="H9" s="26" t="n">
        <v>6</v>
      </c>
      <c r="I9" s="19" t="n">
        <v>0.912</v>
      </c>
      <c r="J9" s="39" t="n">
        <f aca="false">D9-D8</f>
        <v>13</v>
      </c>
    </row>
    <row r="10" customFormat="false" ht="13.5" hidden="false" customHeight="true" outlineLevel="0" collapsed="false">
      <c r="A10" s="24" t="n">
        <v>2019</v>
      </c>
      <c r="B10" s="26" t="n">
        <v>35</v>
      </c>
      <c r="C10" s="26" t="n">
        <v>13</v>
      </c>
      <c r="D10" s="38" t="n">
        <f aca="false">B10+C10</f>
        <v>48</v>
      </c>
      <c r="E10" s="26" t="n">
        <v>17</v>
      </c>
      <c r="F10" s="26" t="n">
        <v>15</v>
      </c>
      <c r="G10" s="26" t="n">
        <v>8</v>
      </c>
      <c r="H10" s="26" t="n">
        <v>5</v>
      </c>
      <c r="I10" s="19" t="n">
        <v>0.889</v>
      </c>
      <c r="J10" s="39" t="n">
        <f aca="false">D10-D9</f>
        <v>-11</v>
      </c>
    </row>
    <row r="11" customFormat="false" ht="13.5" hidden="false" customHeight="true" outlineLevel="0" collapsed="false">
      <c r="A11" s="21" t="n">
        <v>2020</v>
      </c>
      <c r="B11" s="26" t="n">
        <v>40</v>
      </c>
      <c r="C11" s="26" t="n">
        <v>13</v>
      </c>
      <c r="D11" s="38" t="n">
        <f aca="false">B11+C11</f>
        <v>53</v>
      </c>
      <c r="E11" s="26" t="n">
        <v>20</v>
      </c>
      <c r="F11" s="26" t="n">
        <v>16</v>
      </c>
      <c r="G11" s="26" t="n">
        <v>9</v>
      </c>
      <c r="H11" s="26" t="n">
        <v>6</v>
      </c>
      <c r="I11" s="19" t="n">
        <v>0.901</v>
      </c>
      <c r="J11" s="39" t="n">
        <f aca="false">D11-D10</f>
        <v>5</v>
      </c>
    </row>
    <row r="12" customFormat="false" ht="13.5" hidden="false" customHeight="true" outlineLevel="0" collapsed="false">
      <c r="A12" s="24" t="n">
        <v>2021</v>
      </c>
      <c r="B12" s="26" t="n">
        <v>37</v>
      </c>
      <c r="C12" s="26" t="n">
        <v>13</v>
      </c>
      <c r="D12" s="38" t="n">
        <f aca="false">B12+C12</f>
        <v>50</v>
      </c>
      <c r="E12" s="26" t="n">
        <v>19</v>
      </c>
      <c r="F12" s="26" t="n">
        <v>14</v>
      </c>
      <c r="G12" s="26" t="n">
        <v>8</v>
      </c>
      <c r="H12" s="26" t="n">
        <v>6</v>
      </c>
      <c r="I12" s="19" t="n">
        <v>0.884</v>
      </c>
      <c r="J12" s="39" t="n">
        <f aca="false">D12-D11</f>
        <v>-3</v>
      </c>
    </row>
    <row r="13" customFormat="false" ht="13.5" hidden="false" customHeight="true" outlineLevel="0" collapsed="false">
      <c r="A13" s="21" t="n">
        <v>2022</v>
      </c>
      <c r="B13" s="26" t="n">
        <v>26</v>
      </c>
      <c r="C13" s="26" t="n">
        <v>11</v>
      </c>
      <c r="D13" s="38" t="n">
        <f aca="false">B13+C13</f>
        <v>37</v>
      </c>
      <c r="E13" s="26" t="n">
        <v>14</v>
      </c>
      <c r="F13" s="26" t="n">
        <v>11</v>
      </c>
      <c r="G13" s="26" t="n">
        <v>5</v>
      </c>
      <c r="H13" s="26" t="n">
        <v>4</v>
      </c>
      <c r="I13" s="19" t="n">
        <v>0.821</v>
      </c>
      <c r="J13" s="39" t="n">
        <f aca="false">D13-D12</f>
        <v>-13</v>
      </c>
    </row>
    <row r="14" customFormat="false" ht="13.5" hidden="false" customHeight="true" outlineLevel="0" collapsed="false">
      <c r="A14" s="24" t="n">
        <v>2023</v>
      </c>
      <c r="B14" s="26" t="n">
        <v>43</v>
      </c>
      <c r="C14" s="26" t="n">
        <v>12</v>
      </c>
      <c r="D14" s="38" t="n">
        <f aca="false">B14+C14</f>
        <v>55</v>
      </c>
      <c r="E14" s="26" t="n">
        <v>21</v>
      </c>
      <c r="F14" s="26" t="n">
        <v>17</v>
      </c>
      <c r="G14" s="26" t="n">
        <v>9</v>
      </c>
      <c r="H14" s="26" t="n">
        <v>5</v>
      </c>
      <c r="I14" s="19" t="n">
        <v>0.917</v>
      </c>
      <c r="J14" s="39" t="n">
        <f aca="false">D14-D13</f>
        <v>18</v>
      </c>
    </row>
    <row r="15" customFormat="false" ht="13.5" hidden="false" customHeight="true" outlineLevel="0" collapsed="false">
      <c r="A15" s="21" t="n">
        <v>2024</v>
      </c>
      <c r="B15" s="26" t="n">
        <v>38</v>
      </c>
      <c r="C15" s="26" t="n">
        <v>12</v>
      </c>
      <c r="D15" s="38" t="n">
        <f aca="false">B15+C15</f>
        <v>50</v>
      </c>
      <c r="E15" s="26" t="n">
        <v>20</v>
      </c>
      <c r="F15" s="26" t="n">
        <v>15</v>
      </c>
      <c r="G15" s="26" t="n">
        <v>8</v>
      </c>
      <c r="H15" s="26" t="n">
        <v>5</v>
      </c>
      <c r="I15" s="19" t="n">
        <v>0.893</v>
      </c>
      <c r="J15" s="39" t="n">
        <f aca="false">D15-D14</f>
        <v>-5</v>
      </c>
    </row>
    <row r="17" customFormat="false" ht="15.75" hidden="false" customHeight="true" outlineLevel="0" collapsed="false">
      <c r="A17" s="15" t="s">
        <v>188</v>
      </c>
      <c r="B17" s="15"/>
      <c r="C17" s="15"/>
      <c r="D17" s="15"/>
      <c r="E17" s="15"/>
      <c r="F17" s="15"/>
      <c r="G17" s="15"/>
      <c r="H17" s="15"/>
      <c r="I17" s="15"/>
      <c r="J17" s="15"/>
    </row>
    <row r="18" customFormat="false" ht="13.5" hidden="false" customHeight="true" outlineLevel="0" collapsed="false">
      <c r="A18" s="10" t="s">
        <v>189</v>
      </c>
      <c r="B18" s="40" t="s">
        <v>190</v>
      </c>
    </row>
    <row r="19" customFormat="false" ht="13.5" hidden="false" customHeight="true" outlineLevel="0" collapsed="false">
      <c r="A19" s="7" t="s">
        <v>181</v>
      </c>
      <c r="B19" s="41" t="n">
        <f aca="false">SUM(D5:D15)</f>
        <v>506</v>
      </c>
    </row>
    <row r="20" customFormat="false" ht="13.5" hidden="false" customHeight="true" outlineLevel="0" collapsed="false">
      <c r="A20" s="10" t="s">
        <v>191</v>
      </c>
      <c r="B20" s="42" t="n">
        <f aca="false">AVERAGE(D5:D15)</f>
        <v>46</v>
      </c>
    </row>
    <row r="21" customFormat="false" ht="13.5" hidden="false" customHeight="true" outlineLevel="0" collapsed="false">
      <c r="A21" s="7" t="s">
        <v>192</v>
      </c>
      <c r="B21" s="43" t="n">
        <f aca="false">MEDIAN(D5:D15)</f>
        <v>48</v>
      </c>
    </row>
    <row r="22" customFormat="false" ht="13.5" hidden="false" customHeight="true" outlineLevel="0" collapsed="false">
      <c r="A22" s="10" t="s">
        <v>193</v>
      </c>
      <c r="B22" s="30" t="n">
        <f aca="false">INDEX(A5:A15,MATCH(MAX(D5:D15),D5:D15,0))</f>
        <v>2018</v>
      </c>
    </row>
    <row r="23" customFormat="false" ht="13.5" hidden="false" customHeight="true" outlineLevel="0" collapsed="false">
      <c r="A23" s="7" t="s">
        <v>194</v>
      </c>
      <c r="B23" s="44" t="n">
        <f aca="false">MAX(D5:D15)</f>
        <v>59</v>
      </c>
    </row>
    <row r="24" customFormat="false" ht="13.5" hidden="false" customHeight="true" outlineLevel="0" collapsed="false">
      <c r="A24" s="10" t="s">
        <v>195</v>
      </c>
      <c r="B24" s="30" t="n">
        <f aca="false">INDEX(A5:A15,MATCH(MIN(D5:D15),D5:D15,0))</f>
        <v>2016</v>
      </c>
    </row>
    <row r="25" customFormat="false" ht="13.5" hidden="false" customHeight="true" outlineLevel="0" collapsed="false">
      <c r="A25" s="7" t="s">
        <v>196</v>
      </c>
      <c r="B25" s="41" t="n">
        <f aca="false">MIN(D5:D15)</f>
        <v>22</v>
      </c>
    </row>
    <row r="26" customFormat="false" ht="13.5" hidden="false" customHeight="true" outlineLevel="0" collapsed="false">
      <c r="A26" s="10" t="s">
        <v>197</v>
      </c>
      <c r="B26" s="45" t="n">
        <f aca="false">D15-AVERAGE(D5:D15)</f>
        <v>4</v>
      </c>
    </row>
    <row r="27" customFormat="false" ht="13.5" hidden="false" customHeight="true" outlineLevel="0" collapsed="false">
      <c r="A27" s="7" t="s">
        <v>198</v>
      </c>
      <c r="B27" s="33" t="n">
        <f aca="false">AVERAGE(E5:E15)/AVERAGE(D5:D15)</f>
        <v>0.375494071146245</v>
      </c>
    </row>
    <row r="28" customFormat="false" ht="13.5" hidden="false" customHeight="true" outlineLevel="0" collapsed="false">
      <c r="A28" s="10" t="s">
        <v>199</v>
      </c>
      <c r="B28" s="46" t="n">
        <f aca="false">AVERAGE(F5:F15)/AVERAGE(D5:D15)</f>
        <v>0.306324110671937</v>
      </c>
    </row>
    <row r="29" customFormat="false" ht="13.5" hidden="false" customHeight="true" outlineLevel="0" collapsed="false">
      <c r="A29" s="7" t="s">
        <v>200</v>
      </c>
      <c r="B29" s="31" t="n">
        <f aca="false">SLOPE(D5:D15,A5:A15)</f>
        <v>1.2</v>
      </c>
    </row>
    <row r="31" customFormat="false" ht="15.75" hidden="false" customHeight="true" outlineLevel="0" collapsed="false">
      <c r="A31" s="20" t="s">
        <v>201</v>
      </c>
      <c r="B31" s="20"/>
      <c r="C31" s="20"/>
      <c r="D31" s="20"/>
      <c r="E31" s="20"/>
      <c r="F31" s="20"/>
      <c r="G31" s="20"/>
      <c r="H31" s="20"/>
      <c r="I31" s="20"/>
      <c r="J31" s="20"/>
    </row>
  </sheetData>
  <mergeCells count="4">
    <mergeCell ref="A1:J1"/>
    <mergeCell ref="A3:J3"/>
    <mergeCell ref="A17:J17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8"/>
    <col collapsed="false" customWidth="true" hidden="false" outlineLevel="0" max="7" min="7" style="0" width="28"/>
    <col collapsed="false" customWidth="true" hidden="false" outlineLevel="0" max="8" min="8" style="0" width="16"/>
    <col collapsed="false" customWidth="true" hidden="false" outlineLevel="0" max="10" min="9" style="0" width="12"/>
  </cols>
  <sheetData>
    <row r="1" customFormat="false" ht="27.75" hidden="false" customHeight="true" outlineLevel="0" collapsed="false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15" t="s">
        <v>203</v>
      </c>
      <c r="B3" s="15"/>
      <c r="C3" s="15"/>
      <c r="D3" s="15"/>
      <c r="E3" s="15"/>
      <c r="F3" s="15"/>
      <c r="G3" s="15"/>
      <c r="H3" s="15"/>
      <c r="I3" s="15"/>
      <c r="J3" s="15"/>
    </row>
    <row r="4" customFormat="false" ht="13.5" hidden="false" customHeight="true" outlineLevel="0" collapsed="false">
      <c r="A4" s="16" t="s">
        <v>103</v>
      </c>
      <c r="B4" s="16" t="s">
        <v>204</v>
      </c>
      <c r="C4" s="16" t="s">
        <v>205</v>
      </c>
      <c r="D4" s="16" t="s">
        <v>206</v>
      </c>
      <c r="E4" s="16" t="s">
        <v>207</v>
      </c>
      <c r="F4" s="16" t="s">
        <v>208</v>
      </c>
      <c r="G4" s="16" t="s">
        <v>209</v>
      </c>
      <c r="H4" s="16" t="s">
        <v>210</v>
      </c>
      <c r="I4" s="16" t="s">
        <v>211</v>
      </c>
    </row>
    <row r="5" customFormat="false" ht="13.5" hidden="false" customHeight="true" outlineLevel="0" collapsed="false">
      <c r="A5" s="21" t="n">
        <v>2021</v>
      </c>
      <c r="B5" s="17" t="n">
        <v>28</v>
      </c>
      <c r="C5" s="17" t="n">
        <v>8</v>
      </c>
      <c r="D5" s="17" t="n">
        <v>10</v>
      </c>
      <c r="E5" s="17" t="n">
        <v>4</v>
      </c>
      <c r="F5" s="17" t="n">
        <v>3</v>
      </c>
      <c r="G5" s="17" t="n">
        <v>3</v>
      </c>
      <c r="H5" s="47" t="n">
        <f aca="false">SUM(C5:G5)</f>
        <v>28</v>
      </c>
      <c r="I5" s="48" t="s">
        <v>212</v>
      </c>
    </row>
    <row r="6" customFormat="false" ht="13.5" hidden="false" customHeight="true" outlineLevel="0" collapsed="false">
      <c r="A6" s="24" t="n">
        <v>2022</v>
      </c>
      <c r="B6" s="17" t="n">
        <v>35</v>
      </c>
      <c r="C6" s="49" t="n">
        <v>10</v>
      </c>
      <c r="D6" s="49" t="n">
        <v>13</v>
      </c>
      <c r="E6" s="49" t="n">
        <v>5</v>
      </c>
      <c r="F6" s="49" t="n">
        <v>4</v>
      </c>
      <c r="G6" s="49" t="n">
        <v>3</v>
      </c>
      <c r="H6" s="47" t="n">
        <f aca="false">SUM(C6:G6)</f>
        <v>35</v>
      </c>
      <c r="I6" s="48" t="s">
        <v>212</v>
      </c>
    </row>
    <row r="7" customFormat="false" ht="13.5" hidden="false" customHeight="true" outlineLevel="0" collapsed="false">
      <c r="A7" s="21" t="n">
        <v>2023</v>
      </c>
      <c r="B7" s="17" t="n">
        <v>42</v>
      </c>
      <c r="C7" s="17" t="n">
        <v>13</v>
      </c>
      <c r="D7" s="17" t="n">
        <v>15</v>
      </c>
      <c r="E7" s="17" t="n">
        <v>6</v>
      </c>
      <c r="F7" s="17" t="n">
        <v>4</v>
      </c>
      <c r="G7" s="17" t="n">
        <v>4</v>
      </c>
      <c r="H7" s="47" t="n">
        <f aca="false">SUM(C7:G7)</f>
        <v>42</v>
      </c>
      <c r="I7" s="48" t="s">
        <v>212</v>
      </c>
    </row>
    <row r="8" customFormat="false" ht="13.5" hidden="false" customHeight="true" outlineLevel="0" collapsed="false">
      <c r="A8" s="24" t="n">
        <v>2024</v>
      </c>
      <c r="B8" s="17" t="n">
        <v>55</v>
      </c>
      <c r="C8" s="49" t="n">
        <v>17</v>
      </c>
      <c r="D8" s="49" t="n">
        <v>19</v>
      </c>
      <c r="E8" s="49" t="n">
        <v>8</v>
      </c>
      <c r="F8" s="49" t="n">
        <v>5</v>
      </c>
      <c r="G8" s="49" t="n">
        <v>6</v>
      </c>
      <c r="H8" s="47" t="n">
        <f aca="false">SUM(C8:G8)</f>
        <v>55</v>
      </c>
      <c r="I8" s="48" t="s">
        <v>212</v>
      </c>
    </row>
    <row r="9" customFormat="false" ht="13.5" hidden="false" customHeight="true" outlineLevel="0" collapsed="false">
      <c r="A9" s="50" t="n">
        <v>2025</v>
      </c>
      <c r="B9" s="17" t="n">
        <v>72</v>
      </c>
      <c r="C9" s="51" t="n">
        <v>22</v>
      </c>
      <c r="D9" s="51" t="n">
        <v>25</v>
      </c>
      <c r="E9" s="51" t="n">
        <v>10</v>
      </c>
      <c r="F9" s="51" t="n">
        <v>7</v>
      </c>
      <c r="G9" s="51" t="n">
        <v>8</v>
      </c>
      <c r="H9" s="47" t="n">
        <f aca="false">SUM(C9:G9)</f>
        <v>72</v>
      </c>
      <c r="I9" s="52" t="s">
        <v>213</v>
      </c>
    </row>
    <row r="10" customFormat="false" ht="13.5" hidden="false" customHeight="true" outlineLevel="0" collapsed="false">
      <c r="A10" s="50" t="n">
        <v>2026</v>
      </c>
      <c r="B10" s="17" t="n">
        <v>88</v>
      </c>
      <c r="C10" s="51" t="n">
        <v>28</v>
      </c>
      <c r="D10" s="51" t="n">
        <v>30</v>
      </c>
      <c r="E10" s="51" t="n">
        <v>12</v>
      </c>
      <c r="F10" s="51" t="n">
        <v>8</v>
      </c>
      <c r="G10" s="51" t="n">
        <v>10</v>
      </c>
      <c r="H10" s="47" t="n">
        <f aca="false">SUM(C10:G10)</f>
        <v>88</v>
      </c>
      <c r="I10" s="52" t="s">
        <v>213</v>
      </c>
    </row>
    <row r="11" customFormat="false" ht="13.5" hidden="false" customHeight="true" outlineLevel="0" collapsed="false">
      <c r="A11" s="50" t="n">
        <v>2027</v>
      </c>
      <c r="B11" s="17" t="n">
        <v>110</v>
      </c>
      <c r="C11" s="51" t="n">
        <v>35</v>
      </c>
      <c r="D11" s="51" t="n">
        <v>37</v>
      </c>
      <c r="E11" s="51" t="n">
        <v>15</v>
      </c>
      <c r="F11" s="51" t="n">
        <v>11</v>
      </c>
      <c r="G11" s="51" t="n">
        <v>12</v>
      </c>
      <c r="H11" s="47" t="n">
        <f aca="false">SUM(C11:G11)</f>
        <v>110</v>
      </c>
      <c r="I11" s="52" t="s">
        <v>213</v>
      </c>
    </row>
    <row r="12" customFormat="false" ht="13.5" hidden="false" customHeight="true" outlineLevel="0" collapsed="false">
      <c r="A12" s="50" t="n">
        <v>2028</v>
      </c>
      <c r="B12" s="17" t="n">
        <v>125</v>
      </c>
      <c r="C12" s="51" t="n">
        <v>40</v>
      </c>
      <c r="D12" s="51" t="n">
        <v>42</v>
      </c>
      <c r="E12" s="51" t="n">
        <v>17</v>
      </c>
      <c r="F12" s="51" t="n">
        <v>12</v>
      </c>
      <c r="G12" s="51" t="n">
        <v>14</v>
      </c>
      <c r="H12" s="47" t="n">
        <f aca="false">SUM(C12:G12)</f>
        <v>125</v>
      </c>
      <c r="I12" s="52" t="s">
        <v>213</v>
      </c>
    </row>
    <row r="13" customFormat="false" ht="13.5" hidden="false" customHeight="true" outlineLevel="0" collapsed="false">
      <c r="A13" s="50" t="n">
        <v>2029</v>
      </c>
      <c r="B13" s="17" t="n">
        <v>140</v>
      </c>
      <c r="C13" s="51" t="n">
        <v>44</v>
      </c>
      <c r="D13" s="51" t="n">
        <v>48</v>
      </c>
      <c r="E13" s="51" t="n">
        <v>19</v>
      </c>
      <c r="F13" s="51" t="n">
        <v>13</v>
      </c>
      <c r="G13" s="51" t="n">
        <v>16</v>
      </c>
      <c r="H13" s="47" t="n">
        <f aca="false">SUM(C13:G13)</f>
        <v>140</v>
      </c>
      <c r="I13" s="52" t="s">
        <v>213</v>
      </c>
    </row>
    <row r="14" customFormat="false" ht="13.5" hidden="false" customHeight="true" outlineLevel="0" collapsed="false">
      <c r="A14" s="50" t="n">
        <v>2030</v>
      </c>
      <c r="B14" s="17" t="n">
        <v>180</v>
      </c>
      <c r="C14" s="51" t="n">
        <v>56</v>
      </c>
      <c r="D14" s="51" t="n">
        <v>62</v>
      </c>
      <c r="E14" s="51" t="n">
        <v>24</v>
      </c>
      <c r="F14" s="51" t="n">
        <v>17</v>
      </c>
      <c r="G14" s="51" t="n">
        <v>21</v>
      </c>
      <c r="H14" s="47" t="n">
        <f aca="false">SUM(C14:G14)</f>
        <v>180</v>
      </c>
      <c r="I14" s="52" t="s">
        <v>213</v>
      </c>
    </row>
    <row r="15" customFormat="false" ht="13.5" hidden="false" customHeight="true" outlineLevel="0" collapsed="false">
      <c r="A15" s="16" t="s">
        <v>214</v>
      </c>
      <c r="B15" s="53" t="n">
        <f aca="false">SUM(B9:B14)</f>
        <v>715</v>
      </c>
    </row>
    <row r="16" customFormat="false" ht="15.75" hidden="false" customHeight="true" outlineLevel="0" collapsed="false">
      <c r="A16" s="20" t="s">
        <v>215</v>
      </c>
      <c r="B16" s="20"/>
      <c r="C16" s="20"/>
      <c r="D16" s="20"/>
      <c r="E16" s="20"/>
      <c r="F16" s="20"/>
      <c r="G16" s="20"/>
      <c r="H16" s="20"/>
      <c r="I16" s="20"/>
      <c r="J16" s="20"/>
    </row>
    <row r="18" customFormat="false" ht="15" hidden="false" customHeight="false" outlineLevel="0" collapsed="false">
      <c r="A18" s="15" t="s">
        <v>216</v>
      </c>
      <c r="B18" s="15"/>
      <c r="C18" s="15"/>
      <c r="D18" s="15"/>
      <c r="E18" s="15"/>
      <c r="F18" s="15"/>
      <c r="G18" s="15"/>
      <c r="H18" s="15"/>
      <c r="I18" s="15"/>
      <c r="J18" s="15"/>
    </row>
    <row r="19" customFormat="false" ht="13.5" hidden="false" customHeight="true" outlineLevel="0" collapsed="false">
      <c r="A19" s="16" t="s">
        <v>103</v>
      </c>
      <c r="B19" s="16" t="s">
        <v>217</v>
      </c>
      <c r="C19" s="16" t="s">
        <v>218</v>
      </c>
      <c r="D19" s="16" t="s">
        <v>219</v>
      </c>
      <c r="E19" s="16" t="s">
        <v>220</v>
      </c>
      <c r="F19" s="16" t="s">
        <v>221</v>
      </c>
      <c r="G19" s="16" t="s">
        <v>222</v>
      </c>
      <c r="H19" s="16" t="s">
        <v>223</v>
      </c>
    </row>
    <row r="20" customFormat="false" ht="13.5" hidden="false" customHeight="true" outlineLevel="0" collapsed="false">
      <c r="A20" s="21" t="n">
        <v>2019</v>
      </c>
      <c r="B20" s="26" t="n">
        <v>12</v>
      </c>
      <c r="C20" s="17" t="n">
        <v>130</v>
      </c>
      <c r="D20" s="54" t="n">
        <f aca="false">C20/B20</f>
        <v>10.8333333333333</v>
      </c>
      <c r="E20" s="55" t="n">
        <v>0.56</v>
      </c>
      <c r="F20" s="17" t="n">
        <v>74</v>
      </c>
      <c r="G20" s="10" t="s">
        <v>224</v>
      </c>
      <c r="H20" s="55" t="n">
        <v>0.58</v>
      </c>
    </row>
    <row r="21" customFormat="false" ht="13.5" hidden="false" customHeight="true" outlineLevel="0" collapsed="false">
      <c r="A21" s="24" t="n">
        <v>2020</v>
      </c>
      <c r="B21" s="26" t="n">
        <v>8</v>
      </c>
      <c r="C21" s="17" t="n">
        <v>78</v>
      </c>
      <c r="D21" s="54" t="n">
        <f aca="false">C21/B21</f>
        <v>9.75</v>
      </c>
      <c r="E21" s="55" t="n">
        <v>0.42</v>
      </c>
      <c r="F21" s="17" t="n">
        <v>21</v>
      </c>
      <c r="G21" s="10" t="s">
        <v>225</v>
      </c>
      <c r="H21" s="55" t="n">
        <v>0.51</v>
      </c>
    </row>
    <row r="22" customFormat="false" ht="13.5" hidden="false" customHeight="true" outlineLevel="0" collapsed="false">
      <c r="A22" s="21" t="n">
        <v>2021</v>
      </c>
      <c r="B22" s="26" t="n">
        <v>10</v>
      </c>
      <c r="C22" s="17" t="n">
        <v>95</v>
      </c>
      <c r="D22" s="54" t="n">
        <f aca="false">C22/B22</f>
        <v>9.5</v>
      </c>
      <c r="E22" s="55" t="n">
        <v>0.48</v>
      </c>
      <c r="F22" s="17" t="n">
        <v>30</v>
      </c>
      <c r="G22" s="10" t="s">
        <v>226</v>
      </c>
      <c r="H22" s="55" t="n">
        <v>0.55</v>
      </c>
    </row>
    <row r="23" customFormat="false" ht="13.5" hidden="false" customHeight="true" outlineLevel="0" collapsed="false">
      <c r="A23" s="24" t="n">
        <v>2022</v>
      </c>
      <c r="B23" s="26" t="n">
        <v>7</v>
      </c>
      <c r="C23" s="17" t="n">
        <v>78</v>
      </c>
      <c r="D23" s="54" t="n">
        <f aca="false">C23/B23</f>
        <v>11.1428571428571</v>
      </c>
      <c r="E23" s="55" t="n">
        <v>0.38</v>
      </c>
      <c r="F23" s="17" t="n">
        <v>28</v>
      </c>
      <c r="G23" s="10" t="s">
        <v>225</v>
      </c>
      <c r="H23" s="55" t="n">
        <v>0.48</v>
      </c>
    </row>
    <row r="24" customFormat="false" ht="13.5" hidden="false" customHeight="true" outlineLevel="0" collapsed="false">
      <c r="A24" s="21" t="n">
        <v>2023</v>
      </c>
      <c r="B24" s="26" t="n">
        <v>15</v>
      </c>
      <c r="C24" s="17" t="n">
        <v>148</v>
      </c>
      <c r="D24" s="54" t="n">
        <f aca="false">C24/B24</f>
        <v>9.86666666666667</v>
      </c>
      <c r="E24" s="55" t="n">
        <v>0.63</v>
      </c>
      <c r="F24" s="17" t="n">
        <v>43</v>
      </c>
      <c r="G24" s="10" t="s">
        <v>227</v>
      </c>
      <c r="H24" s="55" t="n">
        <v>0.72</v>
      </c>
    </row>
    <row r="25" customFormat="false" ht="13.5" hidden="false" customHeight="true" outlineLevel="0" collapsed="false">
      <c r="A25" s="24" t="n">
        <v>2024</v>
      </c>
      <c r="B25" s="26" t="n">
        <v>14</v>
      </c>
      <c r="C25" s="17" t="n">
        <v>145</v>
      </c>
      <c r="D25" s="54" t="n">
        <f aca="false">C25/B25</f>
        <v>10.3571428571429</v>
      </c>
      <c r="E25" s="55" t="n">
        <v>0.62</v>
      </c>
      <c r="F25" s="17" t="n">
        <v>35</v>
      </c>
      <c r="G25" s="10" t="s">
        <v>227</v>
      </c>
      <c r="H25" s="55" t="n">
        <v>0.69</v>
      </c>
    </row>
    <row r="27" customFormat="false" ht="15" hidden="false" customHeight="false" outlineLevel="0" collapsed="false">
      <c r="A27" s="15" t="s">
        <v>228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3.5" hidden="false" customHeight="true" outlineLevel="0" collapsed="false">
      <c r="A28" s="10" t="s">
        <v>229</v>
      </c>
      <c r="B28" s="56" t="n">
        <f aca="false">SUM(C20:C25)</f>
        <v>674</v>
      </c>
    </row>
    <row r="29" customFormat="false" ht="13.5" hidden="false" customHeight="true" outlineLevel="0" collapsed="false">
      <c r="A29" s="7" t="s">
        <v>230</v>
      </c>
      <c r="B29" s="41" t="n">
        <f aca="false">SUM(B20:B25)</f>
        <v>66</v>
      </c>
    </row>
    <row r="30" customFormat="false" ht="13.5" hidden="false" customHeight="true" outlineLevel="0" collapsed="false">
      <c r="A30" s="10" t="s">
        <v>231</v>
      </c>
      <c r="B30" s="35" t="n">
        <f aca="false">AVERAGE(C20:C25)</f>
        <v>112.333333333333</v>
      </c>
    </row>
    <row r="31" customFormat="false" ht="13.5" hidden="false" customHeight="true" outlineLevel="0" collapsed="false">
      <c r="A31" s="7" t="s">
        <v>232</v>
      </c>
      <c r="B31" s="57" t="n">
        <f aca="false">AVERAGE(H20:H25)</f>
        <v>0.588333333333333</v>
      </c>
    </row>
    <row r="32" customFormat="false" ht="13.5" hidden="false" customHeight="true" outlineLevel="0" collapsed="false">
      <c r="A32" s="10" t="s">
        <v>233</v>
      </c>
      <c r="B32" s="30" t="n">
        <f aca="false">INDEX(A20:A25,MATCH(MAX(C20:C25),C20:C25,0))</f>
        <v>2023</v>
      </c>
    </row>
    <row r="33" customFormat="false" ht="13.5" hidden="false" customHeight="true" outlineLevel="0" collapsed="false">
      <c r="A33" s="7" t="s">
        <v>234</v>
      </c>
      <c r="B33" s="33" t="n">
        <f aca="false">AVERAGE(C24:C25)/AVERAGE(C20:C23)-1</f>
        <v>0.538057742782152</v>
      </c>
    </row>
    <row r="35" customFormat="false" ht="15.75" hidden="false" customHeight="true" outlineLevel="0" collapsed="false">
      <c r="A35" s="20" t="s">
        <v>235</v>
      </c>
      <c r="B35" s="20"/>
      <c r="C35" s="20"/>
      <c r="D35" s="20"/>
      <c r="E35" s="20"/>
      <c r="F35" s="20"/>
      <c r="G35" s="20"/>
      <c r="H35" s="20"/>
      <c r="I35" s="20"/>
      <c r="J35" s="20"/>
    </row>
  </sheetData>
  <mergeCells count="6">
    <mergeCell ref="A1:J1"/>
    <mergeCell ref="A3:J3"/>
    <mergeCell ref="A16:J16"/>
    <mergeCell ref="A18:J18"/>
    <mergeCell ref="A27:J27"/>
    <mergeCell ref="A35:J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4"/>
    <col collapsed="false" customWidth="true" hidden="false" outlineLevel="0" max="5" min="5" style="0" width="36"/>
    <col collapsed="false" customWidth="true" hidden="false" outlineLevel="0" max="10" min="6" style="0" width="12"/>
  </cols>
  <sheetData>
    <row r="1" customFormat="false" ht="27.75" hidden="false" customHeight="true" outlineLevel="0" collapsed="false">
      <c r="A1" s="1" t="s">
        <v>236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.75" hidden="false" customHeight="true" outlineLevel="0" collapsed="false">
      <c r="A3" s="15" t="s">
        <v>237</v>
      </c>
      <c r="B3" s="15"/>
      <c r="C3" s="15"/>
      <c r="D3" s="15"/>
      <c r="E3" s="15"/>
      <c r="F3" s="15"/>
      <c r="G3" s="15"/>
      <c r="H3" s="15"/>
      <c r="I3" s="15"/>
      <c r="J3" s="15"/>
    </row>
    <row r="4" customFormat="false" ht="13.5" hidden="false" customHeight="true" outlineLevel="0" collapsed="false">
      <c r="A4" s="16" t="s">
        <v>238</v>
      </c>
      <c r="B4" s="16" t="s">
        <v>239</v>
      </c>
      <c r="C4" s="16" t="s">
        <v>240</v>
      </c>
      <c r="D4" s="16" t="s">
        <v>241</v>
      </c>
      <c r="E4" s="16" t="s">
        <v>242</v>
      </c>
    </row>
    <row r="5" customFormat="false" ht="13.5" hidden="false" customHeight="true" outlineLevel="0" collapsed="false">
      <c r="A5" s="10" t="s">
        <v>243</v>
      </c>
      <c r="B5" s="58" t="n">
        <v>4.8</v>
      </c>
      <c r="C5" s="58" t="n">
        <v>5.5</v>
      </c>
      <c r="D5" s="58" t="n">
        <v>5.5</v>
      </c>
      <c r="E5" s="10" t="s">
        <v>244</v>
      </c>
    </row>
    <row r="6" customFormat="false" ht="13.5" hidden="false" customHeight="true" outlineLevel="0" collapsed="false">
      <c r="A6" s="59" t="s">
        <v>245</v>
      </c>
      <c r="B6" s="60" t="n">
        <v>5.5</v>
      </c>
      <c r="C6" s="60" t="n">
        <v>7.2</v>
      </c>
      <c r="D6" s="60" t="n">
        <v>9</v>
      </c>
      <c r="E6" s="59" t="s">
        <v>246</v>
      </c>
    </row>
    <row r="7" customFormat="false" ht="13.5" hidden="false" customHeight="true" outlineLevel="0" collapsed="false">
      <c r="A7" s="10" t="s">
        <v>247</v>
      </c>
      <c r="B7" s="61" t="n">
        <v>0.08</v>
      </c>
      <c r="C7" s="61" t="n">
        <v>0.12</v>
      </c>
      <c r="D7" s="61" t="n">
        <v>0.18</v>
      </c>
      <c r="E7" s="10" t="s">
        <v>248</v>
      </c>
    </row>
    <row r="8" customFormat="false" ht="13.5" hidden="false" customHeight="true" outlineLevel="0" collapsed="false">
      <c r="A8" s="7" t="s">
        <v>249</v>
      </c>
      <c r="B8" s="62" t="n">
        <v>3</v>
      </c>
      <c r="C8" s="62" t="n">
        <v>3</v>
      </c>
      <c r="D8" s="62" t="n">
        <v>3</v>
      </c>
      <c r="E8" s="7" t="s">
        <v>250</v>
      </c>
    </row>
    <row r="9" customFormat="false" ht="13.5" hidden="false" customHeight="true" outlineLevel="0" collapsed="false">
      <c r="A9" s="10" t="s">
        <v>251</v>
      </c>
      <c r="B9" s="63" t="n">
        <v>100</v>
      </c>
      <c r="C9" s="63" t="n">
        <v>100</v>
      </c>
      <c r="D9" s="63" t="n">
        <v>100</v>
      </c>
      <c r="E9" s="10" t="s">
        <v>252</v>
      </c>
    </row>
    <row r="10" customFormat="false" ht="13.5" hidden="false" customHeight="true" outlineLevel="0" collapsed="false">
      <c r="A10" s="59" t="s">
        <v>253</v>
      </c>
      <c r="B10" s="64" t="n">
        <v>0.05</v>
      </c>
      <c r="C10" s="64" t="n">
        <v>0.12</v>
      </c>
      <c r="D10" s="64" t="n">
        <v>0.2</v>
      </c>
      <c r="E10" s="59" t="s">
        <v>254</v>
      </c>
    </row>
    <row r="11" customFormat="false" ht="13.5" hidden="false" customHeight="true" outlineLevel="0" collapsed="false">
      <c r="A11" s="59" t="s">
        <v>255</v>
      </c>
      <c r="B11" s="64" t="n">
        <v>0.45</v>
      </c>
      <c r="C11" s="64" t="n">
        <v>0.64</v>
      </c>
      <c r="D11" s="64" t="n">
        <v>0.8</v>
      </c>
      <c r="E11" s="59" t="s">
        <v>256</v>
      </c>
    </row>
    <row r="12" customFormat="false" ht="13.5" hidden="false" customHeight="true" outlineLevel="0" collapsed="false">
      <c r="A12" s="7" t="s">
        <v>257</v>
      </c>
      <c r="B12" s="65" t="n">
        <v>0.005</v>
      </c>
      <c r="C12" s="65" t="n">
        <v>0.01</v>
      </c>
      <c r="D12" s="65" t="n">
        <v>0.015</v>
      </c>
      <c r="E12" s="7" t="s">
        <v>258</v>
      </c>
    </row>
    <row r="15" customFormat="false" ht="15.75" hidden="false" customHeight="true" outlineLevel="0" collapsed="false">
      <c r="A15" s="15" t="s">
        <v>259</v>
      </c>
      <c r="B15" s="15"/>
      <c r="C15" s="15"/>
      <c r="D15" s="15"/>
      <c r="E15" s="15"/>
      <c r="F15" s="15"/>
      <c r="G15" s="15"/>
      <c r="H15" s="15"/>
      <c r="I15" s="15"/>
      <c r="J15" s="15"/>
    </row>
    <row r="16" customFormat="false" ht="13.5" hidden="false" customHeight="true" outlineLevel="0" collapsed="false">
      <c r="A16" s="16" t="s">
        <v>260</v>
      </c>
      <c r="B16" s="16" t="s">
        <v>239</v>
      </c>
      <c r="C16" s="16" t="s">
        <v>240</v>
      </c>
      <c r="D16" s="16" t="s">
        <v>241</v>
      </c>
    </row>
    <row r="17" customFormat="false" ht="13.5" hidden="false" customHeight="true" outlineLevel="0" collapsed="false">
      <c r="A17" s="66" t="s">
        <v>261</v>
      </c>
      <c r="B17" s="35" t="n">
        <f aca="false">D9*(1+B7)^B8</f>
        <v>125.9712</v>
      </c>
      <c r="C17" s="35" t="n">
        <f aca="false">D9*(1+C7)^C8</f>
        <v>140.4928</v>
      </c>
      <c r="D17" s="35" t="n">
        <f aca="false">D9*(1+D7)^D8</f>
        <v>164.3032</v>
      </c>
    </row>
    <row r="18" customFormat="false" ht="13.5" hidden="false" customHeight="true" outlineLevel="0" collapsed="false">
      <c r="A18" s="67" t="s">
        <v>262</v>
      </c>
      <c r="B18" s="43" t="n">
        <f aca="false">B17*B6</f>
        <v>692.8416</v>
      </c>
      <c r="C18" s="43" t="n">
        <f aca="false">C17*C6</f>
        <v>1011.54816</v>
      </c>
      <c r="D18" s="43" t="n">
        <f aca="false">D17*D6</f>
        <v>1478.7288</v>
      </c>
    </row>
    <row r="19" customFormat="false" ht="13.5" hidden="false" customHeight="true" outlineLevel="0" collapsed="false">
      <c r="A19" s="66" t="s">
        <v>263</v>
      </c>
      <c r="B19" s="46" t="n">
        <f aca="false">B18/D9/B5-1</f>
        <v>0.44342</v>
      </c>
      <c r="C19" s="46" t="n">
        <f aca="false">C18/D9/C5-1</f>
        <v>0.839178472727274</v>
      </c>
      <c r="D19" s="46" t="n">
        <f aca="false">D18/D9/D5-1</f>
        <v>1.68859781818182</v>
      </c>
    </row>
    <row r="20" customFormat="false" ht="13.5" hidden="false" customHeight="true" outlineLevel="0" collapsed="false">
      <c r="A20" s="67" t="s">
        <v>264</v>
      </c>
      <c r="B20" s="33" t="n">
        <f aca="false">(1+B12)^B8-1</f>
        <v>0.0150751249999996</v>
      </c>
      <c r="C20" s="33" t="n">
        <f aca="false">(1+C12)^C8-1</f>
        <v>0.0303010000000001</v>
      </c>
      <c r="D20" s="33" t="n">
        <f aca="false">(1+D12)^D8-1</f>
        <v>0.0456783749999996</v>
      </c>
    </row>
    <row r="21" customFormat="false" ht="13.5" hidden="false" customHeight="true" outlineLevel="0" collapsed="false">
      <c r="A21" s="66" t="s">
        <v>265</v>
      </c>
      <c r="B21" s="46" t="n">
        <f aca="false">1-(1-B10)^B8*( 1-B11*(1-(1-B10)^B8))</f>
        <v>0.19765239921875</v>
      </c>
      <c r="C21" s="46" t="n">
        <f aca="false">1-(1-C10)^C8*(1-C11*(1-(1-C10)^C8))</f>
        <v>0.45745146445824</v>
      </c>
      <c r="D21" s="46" t="n">
        <f aca="false">1-(1-D10)^D8*(1-D11*(1-(1-D10)^D8))</f>
        <v>0.6878848</v>
      </c>
    </row>
    <row r="22" customFormat="false" ht="13.5" hidden="false" customHeight="true" outlineLevel="0" collapsed="false">
      <c r="A22" s="68" t="s">
        <v>266</v>
      </c>
      <c r="B22" s="69" t="n">
        <f aca="false">B19+B20+B21</f>
        <v>0.65614752421875</v>
      </c>
      <c r="C22" s="69" t="n">
        <f aca="false">C19+C20+C21</f>
        <v>1.32693093718551</v>
      </c>
      <c r="D22" s="69" t="n">
        <f aca="false">D19+D20+D21</f>
        <v>2.42216099318182</v>
      </c>
    </row>
    <row r="23" customFormat="false" ht="13.5" hidden="false" customHeight="true" outlineLevel="0" collapsed="false">
      <c r="A23" s="68" t="s">
        <v>267</v>
      </c>
      <c r="B23" s="69" t="n">
        <f aca="false">(1+B22)^(1/B8)-1</f>
        <v>0.183131470813876</v>
      </c>
      <c r="C23" s="69" t="n">
        <f aca="false">(1+C22)^(1/C8)-1</f>
        <v>0.32513817231163</v>
      </c>
      <c r="D23" s="69" t="n">
        <f aca="false">(1+D22)^(1/D8)-1</f>
        <v>0.506954520404551</v>
      </c>
    </row>
    <row r="24" customFormat="false" ht="13.5" hidden="false" customHeight="true" outlineLevel="0" collapsed="false">
      <c r="A24" s="67" t="s">
        <v>268</v>
      </c>
      <c r="B24" s="43" t="n">
        <f aca="false">B6-B5</f>
        <v>0.7</v>
      </c>
      <c r="C24" s="43" t="n">
        <f aca="false">C6-C5</f>
        <v>1.7</v>
      </c>
      <c r="D24" s="43" t="n">
        <f aca="false">D6-D5</f>
        <v>3.5</v>
      </c>
    </row>
    <row r="26" customFormat="false" ht="15.75" hidden="false" customHeight="true" outlineLevel="0" collapsed="false">
      <c r="A26" s="5" t="s">
        <v>269</v>
      </c>
      <c r="B26" s="5"/>
      <c r="C26" s="5"/>
      <c r="D26" s="5"/>
    </row>
    <row r="27" customFormat="false" ht="15" hidden="false" customHeight="false" outlineLevel="0" collapsed="false">
      <c r="A27" s="16" t="s">
        <v>270</v>
      </c>
      <c r="B27" s="16" t="s">
        <v>271</v>
      </c>
      <c r="C27" s="16" t="s">
        <v>266</v>
      </c>
      <c r="D27" s="16" t="s">
        <v>272</v>
      </c>
    </row>
    <row r="28" customFormat="false" ht="13.5" hidden="false" customHeight="true" outlineLevel="0" collapsed="false">
      <c r="A28" s="70" t="s">
        <v>239</v>
      </c>
      <c r="B28" s="61" t="n">
        <v>0.25</v>
      </c>
      <c r="C28" s="71" t="n">
        <f aca="false">B23</f>
        <v>0.183131470813876</v>
      </c>
      <c r="D28" s="46" t="n">
        <f aca="false">B28*C28</f>
        <v>0.045782867703469</v>
      </c>
    </row>
    <row r="29" customFormat="false" ht="13.5" hidden="false" customHeight="true" outlineLevel="0" collapsed="false">
      <c r="A29" s="72" t="s">
        <v>240</v>
      </c>
      <c r="B29" s="61" t="n">
        <v>0.5</v>
      </c>
      <c r="C29" s="71" t="n">
        <f aca="false">C23</f>
        <v>0.32513817231163</v>
      </c>
      <c r="D29" s="46" t="n">
        <f aca="false">B29*C29</f>
        <v>0.162569086155815</v>
      </c>
    </row>
    <row r="30" customFormat="false" ht="13.5" hidden="false" customHeight="true" outlineLevel="0" collapsed="false">
      <c r="A30" s="73" t="s">
        <v>241</v>
      </c>
      <c r="B30" s="61" t="n">
        <v>0.25</v>
      </c>
      <c r="C30" s="71" t="n">
        <f aca="false">D23</f>
        <v>0.506954520404551</v>
      </c>
      <c r="D30" s="46" t="n">
        <f aca="false">B30*C30</f>
        <v>0.126738630101138</v>
      </c>
    </row>
    <row r="31" customFormat="false" ht="15.75" hidden="false" customHeight="true" outlineLevel="0" collapsed="false">
      <c r="A31" s="68" t="s">
        <v>273</v>
      </c>
      <c r="D31" s="74" t="n">
        <f aca="false">SUM(D28:D30)</f>
        <v>0.335090583960421</v>
      </c>
    </row>
    <row r="32" customFormat="false" ht="15.75" hidden="false" customHeight="true" outlineLevel="0" collapsed="false">
      <c r="A32" s="68" t="s">
        <v>274</v>
      </c>
      <c r="D32" s="74" t="n">
        <f aca="false">(1+D31)^(1/B8)-1</f>
        <v>0.101125730178508</v>
      </c>
    </row>
    <row r="34" customFormat="false" ht="27.75" hidden="false" customHeight="true" outlineLevel="0" collapsed="false">
      <c r="A34" s="75" t="s">
        <v>275</v>
      </c>
      <c r="B34" s="75"/>
      <c r="C34" s="75"/>
      <c r="D34" s="75"/>
      <c r="E34" s="75"/>
      <c r="F34" s="75"/>
      <c r="G34" s="75"/>
      <c r="H34" s="75"/>
      <c r="I34" s="75"/>
      <c r="J34" s="75"/>
    </row>
  </sheetData>
  <mergeCells count="5">
    <mergeCell ref="A1:J1"/>
    <mergeCell ref="A3:J3"/>
    <mergeCell ref="A15:J15"/>
    <mergeCell ref="A26:D26"/>
    <mergeCell ref="A34:J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34"/>
    <col collapsed="false" customWidth="true" hidden="false" outlineLevel="0" max="9" min="9" style="0" width="18"/>
    <col collapsed="false" customWidth="true" hidden="false" outlineLevel="0" max="11" min="10" style="0" width="12"/>
  </cols>
  <sheetData>
    <row r="1" customFormat="false" ht="27.75" hidden="false" customHeight="true" outlineLevel="0" collapsed="false">
      <c r="A1" s="1" t="s">
        <v>276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15" hidden="false" customHeight="false" outlineLevel="0" collapsed="false">
      <c r="A3" s="15" t="s">
        <v>277</v>
      </c>
      <c r="B3" s="15"/>
      <c r="C3" s="15"/>
      <c r="D3" s="15"/>
      <c r="E3" s="15"/>
      <c r="F3" s="15"/>
      <c r="G3" s="15"/>
      <c r="H3" s="15"/>
      <c r="I3" s="15"/>
      <c r="J3" s="15"/>
      <c r="K3" s="15"/>
    </row>
    <row r="4" customFormat="false" ht="27.75" hidden="false" customHeight="true" outlineLevel="0" collapsed="false">
      <c r="A4" s="16" t="s">
        <v>278</v>
      </c>
      <c r="B4" s="16" t="s">
        <v>279</v>
      </c>
      <c r="C4" s="16" t="s">
        <v>280</v>
      </c>
      <c r="D4" s="16" t="s">
        <v>281</v>
      </c>
      <c r="E4" s="16" t="s">
        <v>282</v>
      </c>
      <c r="F4" s="16" t="s">
        <v>283</v>
      </c>
      <c r="G4" s="16" t="s">
        <v>284</v>
      </c>
      <c r="H4" s="16" t="s">
        <v>285</v>
      </c>
      <c r="I4" s="16" t="s">
        <v>286</v>
      </c>
    </row>
    <row r="5" customFormat="false" ht="15.75" hidden="false" customHeight="true" outlineLevel="0" collapsed="false">
      <c r="A5" s="10" t="s">
        <v>287</v>
      </c>
      <c r="B5" s="17" t="n">
        <v>620</v>
      </c>
      <c r="C5" s="17" t="n">
        <v>380</v>
      </c>
      <c r="D5" s="17" t="n">
        <v>185</v>
      </c>
      <c r="E5" s="17" t="n">
        <v>45</v>
      </c>
      <c r="F5" s="76" t="n">
        <v>0.62</v>
      </c>
      <c r="G5" s="10" t="s">
        <v>288</v>
      </c>
      <c r="H5" s="10" t="s">
        <v>289</v>
      </c>
      <c r="I5" s="17" t="n">
        <v>420</v>
      </c>
    </row>
    <row r="6" customFormat="false" ht="15.75" hidden="false" customHeight="true" outlineLevel="0" collapsed="false">
      <c r="A6" s="7" t="s">
        <v>290</v>
      </c>
      <c r="B6" s="49" t="n">
        <v>210</v>
      </c>
      <c r="C6" s="49" t="n">
        <v>140</v>
      </c>
      <c r="D6" s="49" t="n">
        <v>68</v>
      </c>
      <c r="E6" s="49" t="n">
        <v>18</v>
      </c>
      <c r="F6" s="76" t="n">
        <v>0.67</v>
      </c>
      <c r="G6" s="7" t="s">
        <v>291</v>
      </c>
      <c r="H6" s="7" t="s">
        <v>292</v>
      </c>
      <c r="I6" s="49" t="n">
        <v>185</v>
      </c>
    </row>
    <row r="7" customFormat="false" ht="15.75" hidden="false" customHeight="true" outlineLevel="0" collapsed="false">
      <c r="A7" s="10" t="s">
        <v>293</v>
      </c>
      <c r="B7" s="17" t="n">
        <v>310</v>
      </c>
      <c r="C7" s="17" t="n">
        <v>220</v>
      </c>
      <c r="D7" s="17" t="n">
        <v>95</v>
      </c>
      <c r="E7" s="17" t="n">
        <v>28</v>
      </c>
      <c r="F7" s="55" t="n">
        <v>0.58</v>
      </c>
      <c r="G7" s="10" t="s">
        <v>294</v>
      </c>
      <c r="H7" s="10" t="s">
        <v>295</v>
      </c>
      <c r="I7" s="17" t="n">
        <v>145</v>
      </c>
    </row>
    <row r="8" customFormat="false" ht="15.75" hidden="false" customHeight="true" outlineLevel="0" collapsed="false">
      <c r="A8" s="7" t="s">
        <v>296</v>
      </c>
      <c r="B8" s="49" t="n">
        <v>280</v>
      </c>
      <c r="C8" s="49" t="n">
        <v>165</v>
      </c>
      <c r="D8" s="49" t="n">
        <v>72</v>
      </c>
      <c r="E8" s="49" t="n">
        <v>18</v>
      </c>
      <c r="F8" s="77" t="n">
        <v>0.47</v>
      </c>
      <c r="G8" s="7" t="s">
        <v>297</v>
      </c>
      <c r="H8" s="7" t="s">
        <v>298</v>
      </c>
      <c r="I8" s="49" t="n">
        <v>210</v>
      </c>
    </row>
    <row r="9" customFormat="false" ht="15.75" hidden="false" customHeight="true" outlineLevel="0" collapsed="false">
      <c r="A9" s="10" t="s">
        <v>299</v>
      </c>
      <c r="B9" s="17" t="n">
        <v>190</v>
      </c>
      <c r="C9" s="17" t="n">
        <v>140</v>
      </c>
      <c r="D9" s="17" t="n">
        <v>65</v>
      </c>
      <c r="E9" s="17" t="n">
        <v>22</v>
      </c>
      <c r="F9" s="76" t="n">
        <v>0.63</v>
      </c>
      <c r="G9" s="10" t="s">
        <v>300</v>
      </c>
      <c r="H9" s="10" t="s">
        <v>301</v>
      </c>
      <c r="I9" s="17" t="n">
        <v>160</v>
      </c>
    </row>
    <row r="10" customFormat="false" ht="15.75" hidden="false" customHeight="true" outlineLevel="0" collapsed="false">
      <c r="A10" s="7" t="s">
        <v>302</v>
      </c>
      <c r="B10" s="49" t="n">
        <v>175</v>
      </c>
      <c r="C10" s="49" t="n">
        <v>120</v>
      </c>
      <c r="D10" s="49" t="n">
        <v>55</v>
      </c>
      <c r="E10" s="49" t="n">
        <v>15</v>
      </c>
      <c r="F10" s="78" t="n">
        <v>0.54</v>
      </c>
      <c r="G10" s="7" t="s">
        <v>303</v>
      </c>
      <c r="H10" s="7" t="s">
        <v>304</v>
      </c>
      <c r="I10" s="49" t="n">
        <v>195</v>
      </c>
    </row>
    <row r="11" customFormat="false" ht="15.75" hidden="false" customHeight="true" outlineLevel="0" collapsed="false">
      <c r="A11" s="10" t="s">
        <v>305</v>
      </c>
      <c r="B11" s="17" t="n">
        <v>160</v>
      </c>
      <c r="C11" s="17" t="n">
        <v>95</v>
      </c>
      <c r="D11" s="17" t="n">
        <v>42</v>
      </c>
      <c r="E11" s="17" t="n">
        <v>12</v>
      </c>
      <c r="F11" s="55" t="n">
        <v>0.55</v>
      </c>
      <c r="G11" s="10" t="s">
        <v>306</v>
      </c>
      <c r="H11" s="10" t="s">
        <v>307</v>
      </c>
      <c r="I11" s="17" t="n">
        <v>88</v>
      </c>
    </row>
    <row r="12" customFormat="false" ht="15.75" hidden="false" customHeight="true" outlineLevel="0" collapsed="false">
      <c r="A12" s="7" t="s">
        <v>308</v>
      </c>
      <c r="B12" s="49" t="n">
        <v>110</v>
      </c>
      <c r="C12" s="49" t="n">
        <v>62</v>
      </c>
      <c r="D12" s="49" t="n">
        <v>28</v>
      </c>
      <c r="E12" s="49" t="n">
        <v>8</v>
      </c>
      <c r="F12" s="78" t="n">
        <v>0.51</v>
      </c>
      <c r="G12" s="7" t="s">
        <v>309</v>
      </c>
      <c r="H12" s="7" t="s">
        <v>310</v>
      </c>
      <c r="I12" s="49" t="n">
        <v>55</v>
      </c>
    </row>
    <row r="13" customFormat="false" ht="15.75" hidden="false" customHeight="true" outlineLevel="0" collapsed="false">
      <c r="A13" s="10" t="s">
        <v>311</v>
      </c>
      <c r="B13" s="17" t="n">
        <v>95</v>
      </c>
      <c r="C13" s="17" t="n">
        <v>70</v>
      </c>
      <c r="D13" s="17" t="n">
        <v>30</v>
      </c>
      <c r="E13" s="17" t="n">
        <v>9</v>
      </c>
      <c r="F13" s="77" t="n">
        <v>0.48</v>
      </c>
      <c r="G13" s="10" t="s">
        <v>312</v>
      </c>
      <c r="H13" s="10" t="s">
        <v>313</v>
      </c>
      <c r="I13" s="17" t="n">
        <v>72</v>
      </c>
    </row>
    <row r="14" customFormat="false" ht="15.75" hidden="false" customHeight="true" outlineLevel="0" collapsed="false">
      <c r="A14" s="7" t="s">
        <v>314</v>
      </c>
      <c r="B14" s="49" t="n">
        <v>85</v>
      </c>
      <c r="C14" s="49" t="n">
        <v>58</v>
      </c>
      <c r="D14" s="49" t="n">
        <v>24</v>
      </c>
      <c r="E14" s="49" t="n">
        <v>7</v>
      </c>
      <c r="F14" s="76" t="n">
        <v>0.6</v>
      </c>
      <c r="G14" s="7" t="s">
        <v>315</v>
      </c>
      <c r="H14" s="7" t="s">
        <v>316</v>
      </c>
      <c r="I14" s="49" t="n">
        <v>42</v>
      </c>
    </row>
    <row r="15" customFormat="false" ht="15" hidden="false" customHeight="true" outlineLevel="0" collapsed="false">
      <c r="A15" s="5" t="s">
        <v>317</v>
      </c>
      <c r="B15" s="79" t="n">
        <f aca="false">SUM(B5:B14)</f>
        <v>2235</v>
      </c>
      <c r="C15" s="79" t="n">
        <f aca="false">SUM(C5:C14)</f>
        <v>1450</v>
      </c>
      <c r="D15" s="79" t="n">
        <f aca="false">SUM(D5:D14)</f>
        <v>664</v>
      </c>
      <c r="E15" s="79" t="n">
        <f aca="false">SUM(E5:E14)</f>
        <v>182</v>
      </c>
      <c r="F15" s="69" t="n">
        <f aca="false">SUMPRODUCT(D5:D14,F5:F14)/SUM(D5:D14)</f>
        <v>0.581370481927711</v>
      </c>
      <c r="I15" s="79" t="n">
        <f aca="false">SUM(I5:I14)</f>
        <v>1572</v>
      </c>
    </row>
    <row r="16" customFormat="false" ht="15.75" hidden="false" customHeight="true" outlineLevel="0" collapsed="false">
      <c r="A16" s="20" t="s">
        <v>318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8" customFormat="false" ht="15" hidden="false" customHeight="false" outlineLevel="0" collapsed="false">
      <c r="A18" s="15" t="s">
        <v>319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</row>
    <row r="19" customFormat="false" ht="13.5" hidden="false" customHeight="true" outlineLevel="0" collapsed="false">
      <c r="A19" s="16" t="s">
        <v>103</v>
      </c>
      <c r="B19" s="16" t="s">
        <v>143</v>
      </c>
      <c r="C19" s="16" t="s">
        <v>142</v>
      </c>
      <c r="D19" s="16" t="s">
        <v>320</v>
      </c>
      <c r="E19" s="16" t="s">
        <v>321</v>
      </c>
      <c r="F19" s="16" t="s">
        <v>141</v>
      </c>
      <c r="G19" s="16" t="s">
        <v>322</v>
      </c>
      <c r="H19" s="16" t="s">
        <v>242</v>
      </c>
    </row>
    <row r="20" customFormat="false" ht="13.5" hidden="false" customHeight="true" outlineLevel="0" collapsed="false">
      <c r="A20" s="21" t="n">
        <v>2014</v>
      </c>
      <c r="B20" s="80" t="n">
        <v>0.034</v>
      </c>
      <c r="C20" s="80" t="n">
        <v>0.134</v>
      </c>
      <c r="D20" s="18" t="n">
        <f aca="false">B20-C20</f>
        <v>-0.1</v>
      </c>
      <c r="E20" s="28" t="n">
        <v>0.0254</v>
      </c>
      <c r="F20" s="27" t="n">
        <v>14.2</v>
      </c>
      <c r="G20" s="81" t="str">
        <f aca="false">IF(B20&gt;C20,"Yes","No")</f>
        <v>No</v>
      </c>
      <c r="H20" s="10" t="s">
        <v>323</v>
      </c>
    </row>
    <row r="21" customFormat="false" ht="13.5" hidden="false" customHeight="true" outlineLevel="0" collapsed="false">
      <c r="A21" s="24" t="n">
        <v>2015</v>
      </c>
      <c r="B21" s="80" t="n">
        <v>0.118</v>
      </c>
      <c r="C21" s="80" t="n">
        <v>0.014</v>
      </c>
      <c r="D21" s="82" t="n">
        <f aca="false">B21-C21</f>
        <v>0.104</v>
      </c>
      <c r="E21" s="83" t="n">
        <v>0.0214</v>
      </c>
      <c r="F21" s="84" t="n">
        <v>16.7</v>
      </c>
      <c r="G21" s="85" t="str">
        <f aca="false">IF(B21&gt;C21,"Yes","No")</f>
        <v>Yes</v>
      </c>
      <c r="H21" s="7" t="s">
        <v>324</v>
      </c>
    </row>
    <row r="22" customFormat="false" ht="13.5" hidden="false" customHeight="true" outlineLevel="0" collapsed="false">
      <c r="A22" s="21" t="n">
        <v>2016</v>
      </c>
      <c r="B22" s="86" t="n">
        <v>-0.213</v>
      </c>
      <c r="C22" s="80" t="n">
        <v>0.12</v>
      </c>
      <c r="D22" s="18" t="n">
        <f aca="false">B22-C22</f>
        <v>-0.333</v>
      </c>
      <c r="E22" s="28" t="n">
        <v>0.0245</v>
      </c>
      <c r="F22" s="27" t="n">
        <v>15.8</v>
      </c>
      <c r="G22" s="81" t="str">
        <f aca="false">IF(B22&gt;C22,"Yes","No")</f>
        <v>No</v>
      </c>
      <c r="H22" s="10" t="s">
        <v>325</v>
      </c>
    </row>
    <row r="23" customFormat="false" ht="13.5" hidden="false" customHeight="true" outlineLevel="0" collapsed="false">
      <c r="A23" s="24" t="n">
        <v>2017</v>
      </c>
      <c r="B23" s="80" t="n">
        <v>0.441</v>
      </c>
      <c r="C23" s="80" t="n">
        <v>0.216</v>
      </c>
      <c r="D23" s="82" t="n">
        <f aca="false">B23-C23</f>
        <v>0.225</v>
      </c>
      <c r="E23" s="83" t="n">
        <v>0.0241</v>
      </c>
      <c r="F23" s="84" t="n">
        <v>11.1</v>
      </c>
      <c r="G23" s="85" t="str">
        <f aca="false">IF(B23&gt;C23,"Yes","No")</f>
        <v>Yes</v>
      </c>
      <c r="H23" s="7" t="s">
        <v>326</v>
      </c>
    </row>
    <row r="24" customFormat="false" ht="13.5" hidden="false" customHeight="true" outlineLevel="0" collapsed="false">
      <c r="A24" s="21" t="n">
        <v>2018</v>
      </c>
      <c r="B24" s="80" t="n">
        <v>0.082</v>
      </c>
      <c r="C24" s="86" t="n">
        <v>-0.043</v>
      </c>
      <c r="D24" s="18" t="n">
        <f aca="false">B24-C24</f>
        <v>0.125</v>
      </c>
      <c r="E24" s="28" t="n">
        <v>0.0291</v>
      </c>
      <c r="F24" s="27" t="n">
        <v>16.6</v>
      </c>
      <c r="G24" s="81" t="str">
        <f aca="false">IF(B24&gt;C24,"Yes","No")</f>
        <v>Yes</v>
      </c>
      <c r="H24" s="10" t="s">
        <v>327</v>
      </c>
    </row>
    <row r="25" customFormat="false" ht="13.5" hidden="false" customHeight="true" outlineLevel="0" collapsed="false">
      <c r="A25" s="24" t="n">
        <v>2019</v>
      </c>
      <c r="B25" s="80" t="n">
        <v>0.279</v>
      </c>
      <c r="C25" s="80" t="n">
        <v>0.313</v>
      </c>
      <c r="D25" s="82" t="n">
        <f aca="false">B25-C25</f>
        <v>-0.034</v>
      </c>
      <c r="E25" s="83" t="n">
        <v>0.0214</v>
      </c>
      <c r="F25" s="84" t="n">
        <v>15.4</v>
      </c>
      <c r="G25" s="85" t="str">
        <f aca="false">IF(B25&gt;C25,"Yes","No")</f>
        <v>No</v>
      </c>
      <c r="H25" s="7" t="s">
        <v>328</v>
      </c>
    </row>
    <row r="26" customFormat="false" ht="13.5" hidden="false" customHeight="true" outlineLevel="0" collapsed="false">
      <c r="A26" s="21" t="n">
        <v>2020</v>
      </c>
      <c r="B26" s="80" t="n">
        <v>0.485</v>
      </c>
      <c r="C26" s="80" t="n">
        <v>0.183</v>
      </c>
      <c r="D26" s="18" t="n">
        <f aca="false">B26-C26</f>
        <v>0.302</v>
      </c>
      <c r="E26" s="28" t="n">
        <v>0.0093</v>
      </c>
      <c r="F26" s="27" t="n">
        <v>24.5</v>
      </c>
      <c r="G26" s="81" t="str">
        <f aca="false">IF(B26&gt;C26,"Yes","No")</f>
        <v>Yes</v>
      </c>
      <c r="H26" s="10" t="s">
        <v>329</v>
      </c>
    </row>
    <row r="27" customFormat="false" ht="13.5" hidden="false" customHeight="true" outlineLevel="0" collapsed="false">
      <c r="A27" s="24" t="n">
        <v>2021</v>
      </c>
      <c r="B27" s="86" t="n">
        <v>-0.216</v>
      </c>
      <c r="C27" s="80" t="n">
        <v>0.267</v>
      </c>
      <c r="D27" s="82" t="n">
        <f aca="false">B27-C27</f>
        <v>-0.483</v>
      </c>
      <c r="E27" s="83" t="n">
        <v>0.0152</v>
      </c>
      <c r="F27" s="84" t="n">
        <v>19.7</v>
      </c>
      <c r="G27" s="85" t="str">
        <f aca="false">IF(B27&gt;C27,"Yes","No")</f>
        <v>No</v>
      </c>
      <c r="H27" s="7" t="s">
        <v>330</v>
      </c>
    </row>
    <row r="28" customFormat="false" ht="13.5" hidden="false" customHeight="true" outlineLevel="0" collapsed="false">
      <c r="A28" s="21" t="n">
        <v>2022</v>
      </c>
      <c r="B28" s="86" t="n">
        <v>-0.454</v>
      </c>
      <c r="C28" s="86" t="n">
        <v>-0.181</v>
      </c>
      <c r="D28" s="18" t="n">
        <f aca="false">B28-C28</f>
        <v>-0.273</v>
      </c>
      <c r="E28" s="28" t="n">
        <v>0.0388</v>
      </c>
      <c r="F28" s="27" t="n">
        <v>26.5</v>
      </c>
      <c r="G28" s="81" t="str">
        <f aca="false">IF(B28&gt;C28,"Yes","No")</f>
        <v>No</v>
      </c>
      <c r="H28" s="10" t="s">
        <v>331</v>
      </c>
    </row>
    <row r="29" customFormat="false" ht="13.5" hidden="false" customHeight="true" outlineLevel="0" collapsed="false">
      <c r="A29" s="24" t="n">
        <v>2023</v>
      </c>
      <c r="B29" s="80" t="n">
        <v>0.093</v>
      </c>
      <c r="C29" s="80" t="n">
        <v>0.244</v>
      </c>
      <c r="D29" s="82" t="n">
        <f aca="false">B29-C29</f>
        <v>-0.151</v>
      </c>
      <c r="E29" s="83" t="n">
        <v>0.0397</v>
      </c>
      <c r="F29" s="84" t="n">
        <v>16.8</v>
      </c>
      <c r="G29" s="85" t="str">
        <f aca="false">IF(B29&gt;C29,"Yes","No")</f>
        <v>No</v>
      </c>
      <c r="H29" s="7" t="s">
        <v>332</v>
      </c>
    </row>
    <row r="30" customFormat="false" ht="13.5" hidden="false" customHeight="true" outlineLevel="0" collapsed="false">
      <c r="A30" s="21" t="n">
        <v>2024</v>
      </c>
      <c r="B30" s="80" t="n">
        <v>0.021</v>
      </c>
      <c r="C30" s="80" t="n">
        <v>0.232</v>
      </c>
      <c r="D30" s="18" t="n">
        <f aca="false">B30-C30</f>
        <v>-0.211</v>
      </c>
      <c r="E30" s="28" t="n">
        <v>0.0425</v>
      </c>
      <c r="F30" s="27" t="n">
        <v>15.6</v>
      </c>
      <c r="G30" s="81" t="str">
        <f aca="false">IF(B30&gt;C30,"Yes","No")</f>
        <v>No</v>
      </c>
      <c r="H30" s="10" t="s">
        <v>333</v>
      </c>
    </row>
    <row r="32" customFormat="false" ht="15" hidden="false" customHeight="false" outlineLevel="0" collapsed="false">
      <c r="A32" s="15" t="s">
        <v>334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</row>
    <row r="33" customFormat="false" ht="13.5" hidden="false" customHeight="true" outlineLevel="0" collapsed="false">
      <c r="A33" s="10" t="s">
        <v>335</v>
      </c>
      <c r="B33" s="46" t="n">
        <f aca="false">(1+B20)*(1+B21)*(1+B22)*(1+B23)*(1+B24)*(1+B25)*(1+B26)*(1+B27)*(1+B28)*(1+B29)*(1+B30)-1</f>
        <v>0.287004080364593</v>
      </c>
    </row>
    <row r="34" customFormat="false" ht="13.5" hidden="false" customHeight="true" outlineLevel="0" collapsed="false">
      <c r="A34" s="7" t="s">
        <v>336</v>
      </c>
      <c r="B34" s="33" t="n">
        <f aca="false">(1+C20)*(1+C21)*(1+C22)*(1+C23)*(1+C24)*(1+C25)*(1+C26)*(1+C27)*(1+C28)*(1+C29)*(1+C30)-1</f>
        <v>2.70216371938805</v>
      </c>
    </row>
    <row r="35" customFormat="false" ht="13.5" hidden="false" customHeight="true" outlineLevel="0" collapsed="false">
      <c r="A35" s="10" t="s">
        <v>337</v>
      </c>
      <c r="B35" s="87" t="n">
        <f aca="false">((1+B20)*(1+B21)*(1+B22)*(1+B23)*(1+B24)*(1+B25)*(1+B26)*(1+B27)*(1+B28)*(1+B29)*(1+B30)-1+1)^(1/11)-1</f>
        <v>0.0232030151839664</v>
      </c>
    </row>
    <row r="36" customFormat="false" ht="13.5" hidden="false" customHeight="true" outlineLevel="0" collapsed="false">
      <c r="A36" s="7" t="s">
        <v>338</v>
      </c>
      <c r="B36" s="87" t="n">
        <f aca="false">((1+C20)*(1+C21)*(1+C22)*(1+C23)*(1+C24)*(1+C25)*(1+C26)*(1+C27)*(1+C28)*(1+C29)*(1+C30)-1+1)^(1/11)-1</f>
        <v>0.126361464171617</v>
      </c>
    </row>
    <row r="37" customFormat="false" ht="13.5" hidden="false" customHeight="true" outlineLevel="0" collapsed="false">
      <c r="A37" s="10" t="s">
        <v>339</v>
      </c>
      <c r="B37" s="46" t="n">
        <f aca="false">AVERAGE(B20:B30)</f>
        <v>0.0609090909090909</v>
      </c>
    </row>
    <row r="38" customFormat="false" ht="13.5" hidden="false" customHeight="true" outlineLevel="0" collapsed="false">
      <c r="A38" s="7" t="s">
        <v>340</v>
      </c>
      <c r="B38" s="33" t="n">
        <f aca="false">STDEV(B20:B30)</f>
        <v>0.282094471603204</v>
      </c>
    </row>
    <row r="39" customFormat="false" ht="13.5" hidden="false" customHeight="true" outlineLevel="0" collapsed="false">
      <c r="A39" s="10" t="s">
        <v>341</v>
      </c>
      <c r="B39" s="88" t="n">
        <f aca="false">(AVERAGE(B20:B30)-0.025)/STDEV(B20:B30)</f>
        <v>0.127294557404871</v>
      </c>
    </row>
    <row r="40" customFormat="false" ht="13.5" hidden="false" customHeight="true" outlineLevel="0" collapsed="false">
      <c r="A40" s="7" t="s">
        <v>342</v>
      </c>
      <c r="B40" s="41" t="n">
        <f aca="false">COUNTIF(D20:D30,"&gt;"&amp;0)</f>
        <v>4</v>
      </c>
    </row>
    <row r="41" customFormat="false" ht="13.5" hidden="false" customHeight="true" outlineLevel="0" collapsed="false">
      <c r="A41" s="10" t="s">
        <v>343</v>
      </c>
      <c r="B41" s="46" t="n">
        <f aca="false">MIN(B20:B30)</f>
        <v>-0.454</v>
      </c>
    </row>
    <row r="42" customFormat="false" ht="13.5" hidden="false" customHeight="true" outlineLevel="0" collapsed="false">
      <c r="A42" s="7" t="s">
        <v>344</v>
      </c>
      <c r="B42" s="33" t="n">
        <f aca="false">MAX(B20:B30)</f>
        <v>0.485</v>
      </c>
    </row>
    <row r="44" customFormat="false" ht="15.75" hidden="false" customHeight="true" outlineLevel="0" collapsed="false">
      <c r="A44" s="20" t="s">
        <v>345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</row>
  </sheetData>
  <mergeCells count="6">
    <mergeCell ref="A1:K1"/>
    <mergeCell ref="A3:K3"/>
    <mergeCell ref="A16:K16"/>
    <mergeCell ref="A18:K18"/>
    <mergeCell ref="A32:K32"/>
    <mergeCell ref="A44:K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2026-03-27T19:07:22Z</dcterms:created>
  <dc:creator>openpyxl</dc:creator>
  <dc:description/>
  <dc:language>en-US</dc:language>
  <cp:lastModifiedBy/>
  <dcterms:modified xsi:type="dcterms:W3CDTF">2026-03-27T19:07:22Z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