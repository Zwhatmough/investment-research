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.Overview" sheetId="1" state="visible" r:id="rId1"/>
    <sheet xmlns:r="http://schemas.openxmlformats.org/officeDocument/2006/relationships" name="2.Macro Thesis" sheetId="2" state="visible" r:id="rId2"/>
    <sheet xmlns:r="http://schemas.openxmlformats.org/officeDocument/2006/relationships" name="3.EV-Sales Regression" sheetId="3" state="visible" r:id="rId3"/>
    <sheet xmlns:r="http://schemas.openxmlformats.org/officeDocument/2006/relationships" name="4.FDA Approvals" sheetId="4" state="visible" r:id="rId4"/>
    <sheet xmlns:r="http://schemas.openxmlformats.org/officeDocument/2006/relationships" name="5.Patent Cliff &amp; M&amp;A" sheetId="5" state="visible" r:id="rId5"/>
    <sheet xmlns:r="http://schemas.openxmlformats.org/officeDocument/2006/relationships" name="6.Scenario Model" sheetId="6" state="visible" r:id="rId6"/>
    <sheet xmlns:r="http://schemas.openxmlformats.org/officeDocument/2006/relationships" name="7.Pipeline Composition" sheetId="7" state="visible" r:id="rId7"/>
    <sheet xmlns:r="http://schemas.openxmlformats.org/officeDocument/2006/relationships" name="OLS_UST_XBI" sheetId="8" state="visible" r:id="rId8"/>
    <sheet xmlns:r="http://schemas.openxmlformats.org/officeDocument/2006/relationships" name="Trial_Success_Rates" sheetId="9" state="visible" r:id="rId9"/>
    <sheet xmlns:r="http://schemas.openxmlformats.org/officeDocument/2006/relationships" name="MA_Premium_Data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"/>
    <numFmt numFmtId="166" formatCode="0.0"/>
    <numFmt numFmtId="167" formatCode="0.000"/>
    <numFmt numFmtId="168" formatCode="\+0;\-0;\-"/>
  </numFmts>
  <fonts count="2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1E6FA8"/>
      <sz val="9"/>
    </font>
    <font>
      <name val="Arial"/>
      <charset val="1"/>
      <family val="0"/>
      <color rgb="FF222222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333333"/>
      <sz val="9"/>
    </font>
    <font>
      <name val="Arial"/>
      <charset val="1"/>
      <family val="0"/>
      <color rgb="FF0000FF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555555"/>
      <sz val="8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rgb="FF333333"/>
      <sz val="8"/>
    </font>
    <font>
      <name val="Arial"/>
      <charset val="1"/>
      <family val="0"/>
      <b val="1"/>
      <sz val="9"/>
    </font>
    <font>
      <name val="Arial"/>
      <charset val="1"/>
      <family val="0"/>
      <color rgb="FF008000"/>
      <sz val="9"/>
    </font>
    <font>
      <name val="Arial"/>
      <charset val="1"/>
      <family val="0"/>
      <b val="1"/>
      <color rgb="FF000000"/>
      <sz val="10"/>
    </font>
    <font>
      <name val="Calibri"/>
      <b val="1"/>
      <color rgb="000D1B2A"/>
      <sz val="13"/>
    </font>
    <font>
      <name val="Calibri"/>
      <b val="1"/>
      <color rgb="001B4F72"/>
      <sz val="11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FF"/>
      <sz val="10"/>
    </font>
    <font>
      <name val="Calibri"/>
      <i val="1"/>
      <color rgb="00000000"/>
      <sz val="10"/>
    </font>
    <font>
      <name val="Calibri"/>
      <color rgb="00000000"/>
      <sz val="10"/>
    </font>
    <font>
      <name val="Calibri"/>
      <color rgb="001A7A40"/>
      <sz val="10"/>
    </font>
    <font>
      <name val="Calibri"/>
      <i val="1"/>
      <color rgb="00666666"/>
      <sz val="9"/>
    </font>
  </fonts>
  <fills count="13">
    <fill>
      <patternFill/>
    </fill>
    <fill>
      <patternFill patternType="gray125"/>
    </fill>
    <fill>
      <patternFill patternType="solid">
        <fgColor rgb="FF0D1F3C"/>
        <bgColor rgb="FF222222"/>
      </patternFill>
    </fill>
    <fill>
      <patternFill patternType="solid">
        <fgColor rgb="FF1E6FA8"/>
        <bgColor rgb="FF008080"/>
      </patternFill>
    </fill>
    <fill>
      <patternFill patternType="solid">
        <fgColor rgb="FFEEF3F8"/>
        <bgColor rgb="FFFFFFFF"/>
      </patternFill>
    </fill>
    <fill>
      <patternFill patternType="solid">
        <fgColor rgb="FFFFF3CC"/>
        <bgColor rgb="FFFDDEDE"/>
      </patternFill>
    </fill>
    <fill>
      <patternFill patternType="solid">
        <fgColor rgb="FFFFFF00"/>
        <bgColor rgb="FFFFFF00"/>
      </patternFill>
    </fill>
    <fill>
      <patternFill patternType="solid">
        <fgColor rgb="FF2E8B57"/>
        <bgColor rgb="FF008080"/>
      </patternFill>
    </fill>
    <fill>
      <patternFill patternType="solid">
        <fgColor rgb="FFFDDEDE"/>
        <bgColor rgb="FFFFF3CC"/>
      </patternFill>
    </fill>
    <fill>
      <patternFill patternType="solid">
        <fgColor rgb="001B4F72"/>
      </patternFill>
    </fill>
    <fill>
      <patternFill patternType="solid">
        <fgColor rgb="00F4F6F8"/>
      </patternFill>
    </fill>
    <fill>
      <patternFill patternType="solid">
        <fgColor rgb="00FFFFFF"/>
      </patternFill>
    </fill>
    <fill>
      <patternFill patternType="solid">
        <fgColor rgb="000D1B2A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1E6FA8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/>
      <top style="thin">
        <color rgb="FFB0BEC5"/>
      </top>
      <bottom style="thin">
        <color rgb="FFB0BEC5"/>
      </bottom>
      <diagonal/>
    </border>
    <border>
      <left/>
      <right/>
      <top style="thin">
        <color rgb="FFB0BEC5"/>
      </top>
      <bottom/>
      <diagonal/>
    </border>
    <border>
      <left/>
      <right style="thin">
        <color rgb="FFB0BEC5"/>
      </right>
      <top style="thin">
        <color rgb="FFB0BEC5"/>
      </top>
      <bottom/>
      <diagonal/>
    </border>
    <border>
      <left/>
      <right/>
      <top style="thin">
        <color rgb="FFB0BEC5"/>
      </top>
      <bottom style="thin">
        <color rgb="FFB0BEC5"/>
      </bottom>
      <diagonal/>
    </border>
    <border>
      <left/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top" wrapText="1"/>
    </xf>
    <xf numFmtId="0" fontId="7" fillId="2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9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8" fillId="0" borderId="3" applyAlignment="1" pivotButton="0" quotePrefix="0" xfId="0">
      <alignment horizontal="left" vertical="center"/>
    </xf>
    <xf numFmtId="0" fontId="7" fillId="3" borderId="2" applyAlignment="1" pivotButton="0" quotePrefix="0" xfId="0">
      <alignment horizontal="left" vertical="center"/>
    </xf>
    <xf numFmtId="0" fontId="7" fillId="2" borderId="2" applyAlignment="1" pivotButton="0" quotePrefix="0" xfId="0">
      <alignment horizontal="center" vertical="center"/>
    </xf>
    <xf numFmtId="3" fontId="9" fillId="0" borderId="2" applyAlignment="1" pivotButton="0" quotePrefix="0" xfId="0">
      <alignment horizontal="right" vertical="center"/>
    </xf>
    <xf numFmtId="164" fontId="10" fillId="0" borderId="2" applyAlignment="1" pivotButton="0" quotePrefix="0" xfId="0">
      <alignment horizontal="right" vertical="center"/>
    </xf>
    <xf numFmtId="164" fontId="9" fillId="0" borderId="2" applyAlignment="1" pivotButton="0" quotePrefix="0" xfId="0">
      <alignment horizontal="right" vertical="center"/>
    </xf>
    <xf numFmtId="0" fontId="11" fillId="0" borderId="0" applyAlignment="1" pivotButton="0" quotePrefix="0" xfId="0">
      <alignment horizontal="general" vertical="bottom"/>
    </xf>
    <xf numFmtId="1" fontId="8" fillId="0" borderId="2" applyAlignment="1" pivotButton="0" quotePrefix="0" xfId="0">
      <alignment horizontal="center" vertical="center"/>
    </xf>
    <xf numFmtId="165" fontId="9" fillId="0" borderId="2" applyAlignment="1" pivotButton="0" quotePrefix="0" xfId="0">
      <alignment horizontal="right" vertical="center"/>
    </xf>
    <xf numFmtId="165" fontId="10" fillId="0" borderId="2" applyAlignment="1" pivotButton="0" quotePrefix="0" xfId="0">
      <alignment horizontal="right" vertical="center"/>
    </xf>
    <xf numFmtId="1" fontId="8" fillId="4" borderId="2" applyAlignment="1" pivotButton="0" quotePrefix="0" xfId="0">
      <alignment horizontal="center" vertical="center"/>
    </xf>
    <xf numFmtId="9" fontId="10" fillId="0" borderId="2" applyAlignment="1" pivotButton="0" quotePrefix="0" xfId="0">
      <alignment horizontal="right" vertical="center"/>
    </xf>
    <xf numFmtId="1" fontId="9" fillId="0" borderId="2" applyAlignment="1" pivotButton="0" quotePrefix="0" xfId="0">
      <alignment horizontal="right" vertical="center"/>
    </xf>
    <xf numFmtId="166" fontId="9" fillId="0" borderId="2" applyAlignment="1" pivotButton="0" quotePrefix="0" xfId="0">
      <alignment horizontal="right" vertical="center"/>
    </xf>
    <xf numFmtId="10" fontId="9" fillId="0" borderId="2" applyAlignment="1" pivotButton="0" quotePrefix="0" xfId="0">
      <alignment horizontal="right" vertical="center"/>
    </xf>
    <xf numFmtId="2" fontId="10" fillId="0" borderId="2" applyAlignment="1" pivotButton="0" quotePrefix="0" xfId="0">
      <alignment horizontal="right" vertical="center"/>
    </xf>
    <xf numFmtId="1" fontId="10" fillId="0" borderId="2" applyAlignment="1" pivotButton="0" quotePrefix="0" xfId="0">
      <alignment horizontal="right" vertical="bottom"/>
    </xf>
    <xf numFmtId="2" fontId="10" fillId="4" borderId="2" applyAlignment="1" pivotButton="0" quotePrefix="0" xfId="0">
      <alignment horizontal="right" vertical="bottom"/>
    </xf>
    <xf numFmtId="2" fontId="10" fillId="0" borderId="2" applyAlignment="1" pivotButton="0" quotePrefix="0" xfId="0">
      <alignment horizontal="right" vertical="bottom"/>
    </xf>
    <xf numFmtId="164" fontId="10" fillId="4" borderId="2" applyAlignment="1" pivotButton="0" quotePrefix="0" xfId="0">
      <alignment horizontal="right" vertical="bottom"/>
    </xf>
    <xf numFmtId="167" fontId="10" fillId="4" borderId="2" applyAlignment="1" pivotButton="0" quotePrefix="0" xfId="0">
      <alignment horizontal="right" vertical="bottom"/>
    </xf>
    <xf numFmtId="166" fontId="10" fillId="0" borderId="2" applyAlignment="1" pivotButton="0" quotePrefix="0" xfId="0">
      <alignment horizontal="right" vertical="bottom"/>
    </xf>
    <xf numFmtId="166" fontId="12" fillId="6" borderId="2" applyAlignment="1" pivotButton="0" quotePrefix="0" xfId="0">
      <alignment horizontal="right" vertical="bottom"/>
    </xf>
    <xf numFmtId="164" fontId="12" fillId="6" borderId="2" applyAlignment="1" pivotButton="0" quotePrefix="0" xfId="0">
      <alignment horizontal="right" vertical="bottom"/>
    </xf>
    <xf numFmtId="1" fontId="10" fillId="0" borderId="2" applyAlignment="1" pivotButton="0" quotePrefix="0" xfId="0">
      <alignment horizontal="right" vertical="center"/>
    </xf>
    <xf numFmtId="168" fontId="10" fillId="0" borderId="2" applyAlignment="1" pivotButton="0" quotePrefix="0" xfId="0">
      <alignment horizontal="right" vertical="center"/>
    </xf>
    <xf numFmtId="0" fontId="9" fillId="0" borderId="2" applyAlignment="1" pivotButton="0" quotePrefix="0" xfId="0">
      <alignment horizontal="right" vertical="bottom"/>
    </xf>
    <xf numFmtId="1" fontId="10" fillId="4" borderId="2" applyAlignment="1" pivotButton="0" quotePrefix="0" xfId="0">
      <alignment horizontal="right" vertical="bottom"/>
    </xf>
    <xf numFmtId="166" fontId="10" fillId="5" borderId="2" applyAlignment="1" pivotButton="0" quotePrefix="0" xfId="0">
      <alignment horizontal="right" vertical="bottom"/>
    </xf>
    <xf numFmtId="166" fontId="10" fillId="4" borderId="2" applyAlignment="1" pivotButton="0" quotePrefix="0" xfId="0">
      <alignment horizontal="right" vertical="bottom"/>
    </xf>
    <xf numFmtId="1" fontId="10" fillId="5" borderId="2" applyAlignment="1" pivotButton="0" quotePrefix="0" xfId="0">
      <alignment horizontal="right" vertical="bottom"/>
    </xf>
    <xf numFmtId="168" fontId="10" fillId="0" borderId="2" applyAlignment="1" pivotButton="0" quotePrefix="0" xfId="0">
      <alignment horizontal="right" vertical="bottom"/>
    </xf>
    <xf numFmtId="164" fontId="10" fillId="0" borderId="2" applyAlignment="1" pivotButton="0" quotePrefix="0" xfId="0">
      <alignment horizontal="right" vertical="bottom"/>
    </xf>
    <xf numFmtId="3" fontId="10" fillId="0" borderId="2" applyAlignment="1" pivotButton="0" quotePrefix="0" xfId="0">
      <alignment horizontal="right" vertical="center"/>
    </xf>
    <xf numFmtId="0" fontId="13" fillId="7" borderId="2" applyAlignment="1" pivotButton="0" quotePrefix="0" xfId="0">
      <alignment horizontal="center" vertical="center"/>
    </xf>
    <xf numFmtId="3" fontId="9" fillId="4" borderId="2" applyAlignment="1" pivotButton="0" quotePrefix="0" xfId="0">
      <alignment horizontal="right" vertical="center"/>
    </xf>
    <xf numFmtId="1" fontId="8" fillId="5" borderId="2" applyAlignment="1" pivotButton="0" quotePrefix="0" xfId="0">
      <alignment horizontal="center" vertical="center"/>
    </xf>
    <xf numFmtId="3" fontId="9" fillId="5" borderId="2" applyAlignment="1" pivotButton="0" quotePrefix="0" xfId="0">
      <alignment horizontal="right" vertical="center"/>
    </xf>
    <xf numFmtId="0" fontId="13" fillId="5" borderId="2" applyAlignment="1" pivotButton="0" quotePrefix="0" xfId="0">
      <alignment horizontal="center" vertical="center"/>
    </xf>
    <xf numFmtId="3" fontId="14" fillId="0" borderId="2" applyAlignment="1" pivotButton="0" quotePrefix="0" xfId="0">
      <alignment horizontal="right" vertical="center"/>
    </xf>
    <xf numFmtId="166" fontId="10" fillId="0" borderId="2" applyAlignment="1" pivotButton="0" quotePrefix="0" xfId="0">
      <alignment horizontal="right" vertical="center"/>
    </xf>
    <xf numFmtId="9" fontId="9" fillId="0" borderId="2" applyAlignment="1" pivotButton="0" quotePrefix="0" xfId="0">
      <alignment horizontal="right" vertical="center"/>
    </xf>
    <xf numFmtId="3" fontId="10" fillId="0" borderId="2" applyAlignment="1" pivotButton="0" quotePrefix="0" xfId="0">
      <alignment horizontal="right" vertical="bottom"/>
    </xf>
    <xf numFmtId="164" fontId="10" fillId="6" borderId="2" applyAlignment="1" pivotButton="0" quotePrefix="0" xfId="0">
      <alignment horizontal="right" vertical="bottom"/>
    </xf>
    <xf numFmtId="166" fontId="9" fillId="0" borderId="2" applyAlignment="1" pivotButton="0" quotePrefix="0" xfId="0">
      <alignment horizontal="right" vertical="bottom"/>
    </xf>
    <xf numFmtId="0" fontId="8" fillId="6" borderId="2" applyAlignment="1" pivotButton="0" quotePrefix="0" xfId="0">
      <alignment horizontal="left" vertical="center"/>
    </xf>
    <xf numFmtId="166" fontId="9" fillId="6" borderId="2" applyAlignment="1" pivotButton="0" quotePrefix="0" xfId="0">
      <alignment horizontal="right" vertical="bottom"/>
    </xf>
    <xf numFmtId="9" fontId="9" fillId="0" borderId="2" applyAlignment="1" pivotButton="0" quotePrefix="0" xfId="0">
      <alignment horizontal="right" vertical="bottom"/>
    </xf>
    <xf numFmtId="1" fontId="9" fillId="4" borderId="2" applyAlignment="1" pivotButton="0" quotePrefix="0" xfId="0">
      <alignment horizontal="right" vertical="bottom"/>
    </xf>
    <xf numFmtId="1" fontId="9" fillId="0" borderId="2" applyAlignment="1" pivotButton="0" quotePrefix="0" xfId="0">
      <alignment horizontal="right" vertical="bottom"/>
    </xf>
    <xf numFmtId="9" fontId="9" fillId="6" borderId="2" applyAlignment="1" pivotButton="0" quotePrefix="0" xfId="0">
      <alignment horizontal="right" vertical="bottom"/>
    </xf>
    <xf numFmtId="9" fontId="9" fillId="4" borderId="2" applyAlignment="1" pivotButton="0" quotePrefix="0" xfId="0">
      <alignment horizontal="right" vertical="bottom"/>
    </xf>
    <xf numFmtId="0" fontId="10" fillId="0" borderId="2" applyAlignment="1" pivotButton="0" quotePrefix="0" xfId="0">
      <alignment horizontal="left" vertical="center"/>
    </xf>
    <xf numFmtId="0" fontId="10" fillId="4" borderId="2" applyAlignment="1" pivotButton="0" quotePrefix="0" xfId="0">
      <alignment horizontal="left" vertical="center"/>
    </xf>
    <xf numFmtId="0" fontId="12" fillId="5" borderId="2" applyAlignment="1" pivotButton="0" quotePrefix="0" xfId="0">
      <alignment horizontal="left" vertical="center"/>
    </xf>
    <xf numFmtId="164" fontId="12" fillId="5" borderId="2" applyAlignment="1" pivotButton="0" quotePrefix="0" xfId="0">
      <alignment horizontal="right" vertical="bottom"/>
    </xf>
    <xf numFmtId="0" fontId="8" fillId="8" borderId="2" applyAlignment="1" pivotButton="0" quotePrefix="0" xfId="0">
      <alignment horizontal="center" vertical="center"/>
    </xf>
    <xf numFmtId="164" fontId="15" fillId="0" borderId="2" applyAlignment="1" pivotButton="0" quotePrefix="0" xfId="0">
      <alignment horizontal="right" vertical="bottom"/>
    </xf>
    <xf numFmtId="0" fontId="8" fillId="4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164" fontId="16" fillId="6" borderId="2" applyAlignment="1" pivotButton="0" quotePrefix="0" xfId="0">
      <alignment horizontal="right" vertical="bottom"/>
    </xf>
    <xf numFmtId="0" fontId="11" fillId="0" borderId="0" applyAlignment="1" pivotButton="0" quotePrefix="0" xfId="0">
      <alignment horizontal="general" vertical="bottom" wrapText="1"/>
    </xf>
    <xf numFmtId="9" fontId="9" fillId="7" borderId="2" applyAlignment="1" pivotButton="0" quotePrefix="0" xfId="0">
      <alignment horizontal="right" vertical="center"/>
    </xf>
    <xf numFmtId="9" fontId="9" fillId="8" borderId="2" applyAlignment="1" pivotButton="0" quotePrefix="0" xfId="0">
      <alignment horizontal="right" vertical="center"/>
    </xf>
    <xf numFmtId="9" fontId="9" fillId="4" borderId="2" applyAlignment="1" pivotButton="0" quotePrefix="0" xfId="0">
      <alignment horizontal="right" vertical="center"/>
    </xf>
    <xf numFmtId="3" fontId="12" fillId="5" borderId="2" applyAlignment="1" pivotButton="0" quotePrefix="0" xfId="0">
      <alignment horizontal="right" vertical="bottom"/>
    </xf>
    <xf numFmtId="164" fontId="9" fillId="7" borderId="2" applyAlignment="1" pivotButton="0" quotePrefix="0" xfId="0">
      <alignment horizontal="right" vertical="center"/>
    </xf>
    <xf numFmtId="0" fontId="10" fillId="0" borderId="2" applyAlignment="1" pivotButton="0" quotePrefix="0" xfId="0">
      <alignment horizontal="center" vertical="center"/>
    </xf>
    <xf numFmtId="164" fontId="10" fillId="4" borderId="2" applyAlignment="1" pivotButton="0" quotePrefix="0" xfId="0">
      <alignment horizontal="right" vertical="center"/>
    </xf>
    <xf numFmtId="10" fontId="9" fillId="4" borderId="2" applyAlignment="1" pivotButton="0" quotePrefix="0" xfId="0">
      <alignment horizontal="right" vertical="center"/>
    </xf>
    <xf numFmtId="166" fontId="9" fillId="4" borderId="2" applyAlignment="1" pivotButton="0" quotePrefix="0" xfId="0">
      <alignment horizontal="right" vertical="center"/>
    </xf>
    <xf numFmtId="0" fontId="10" fillId="4" borderId="2" applyAlignment="1" pivotButton="0" quotePrefix="0" xfId="0">
      <alignment horizontal="center" vertical="center"/>
    </xf>
    <xf numFmtId="164" fontId="9" fillId="8" borderId="2" applyAlignment="1" pivotButton="0" quotePrefix="0" xfId="0">
      <alignment horizontal="right" vertical="center"/>
    </xf>
    <xf numFmtId="164" fontId="10" fillId="5" borderId="2" applyAlignment="1" pivotButton="0" quotePrefix="0" xfId="0">
      <alignment horizontal="right" vertical="bottom"/>
    </xf>
    <xf numFmtId="2" fontId="10" fillId="5" borderId="2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/>
    </xf>
    <xf numFmtId="0" fontId="0" fillId="0" borderId="1" pivotButton="0" quotePrefix="0" xfId="0"/>
    <xf numFmtId="0" fontId="6" fillId="4" borderId="0" applyAlignment="1" pivotButton="0" quotePrefix="0" xfId="0">
      <alignment horizontal="general" vertical="top" wrapText="1"/>
    </xf>
    <xf numFmtId="0" fontId="7" fillId="2" borderId="2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7" fillId="3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9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8" fillId="0" borderId="3" applyAlignment="1" pivotButton="0" quotePrefix="0" xfId="0">
      <alignment horizontal="left" vertical="center"/>
    </xf>
    <xf numFmtId="0" fontId="7" fillId="3" borderId="2" applyAlignment="1" pivotButton="0" quotePrefix="0" xfId="0">
      <alignment horizontal="left" vertical="center"/>
    </xf>
    <xf numFmtId="0" fontId="7" fillId="2" borderId="2" applyAlignment="1" pivotButton="0" quotePrefix="0" xfId="0">
      <alignment horizontal="center" vertical="center"/>
    </xf>
    <xf numFmtId="3" fontId="9" fillId="0" borderId="2" applyAlignment="1" pivotButton="0" quotePrefix="0" xfId="0">
      <alignment horizontal="right" vertical="center"/>
    </xf>
    <xf numFmtId="164" fontId="10" fillId="0" borderId="2" applyAlignment="1" pivotButton="0" quotePrefix="0" xfId="0">
      <alignment horizontal="right" vertical="center"/>
    </xf>
    <xf numFmtId="164" fontId="9" fillId="0" borderId="2" applyAlignment="1" pivotButton="0" quotePrefix="0" xfId="0">
      <alignment horizontal="right" vertical="center"/>
    </xf>
    <xf numFmtId="0" fontId="11" fillId="0" borderId="0" applyAlignment="1" pivotButton="0" quotePrefix="0" xfId="0">
      <alignment horizontal="general" vertical="bottom"/>
    </xf>
    <xf numFmtId="1" fontId="8" fillId="0" borderId="2" applyAlignment="1" pivotButton="0" quotePrefix="0" xfId="0">
      <alignment horizontal="center" vertical="center"/>
    </xf>
    <xf numFmtId="165" fontId="9" fillId="0" borderId="2" applyAlignment="1" pivotButton="0" quotePrefix="0" xfId="0">
      <alignment horizontal="right" vertical="center"/>
    </xf>
    <xf numFmtId="165" fontId="10" fillId="0" borderId="2" applyAlignment="1" pivotButton="0" quotePrefix="0" xfId="0">
      <alignment horizontal="right" vertical="center"/>
    </xf>
    <xf numFmtId="1" fontId="8" fillId="4" borderId="2" applyAlignment="1" pivotButton="0" quotePrefix="0" xfId="0">
      <alignment horizontal="center" vertical="center"/>
    </xf>
    <xf numFmtId="9" fontId="10" fillId="0" borderId="2" applyAlignment="1" pivotButton="0" quotePrefix="0" xfId="0">
      <alignment horizontal="right" vertical="center"/>
    </xf>
    <xf numFmtId="1" fontId="9" fillId="0" borderId="2" applyAlignment="1" pivotButton="0" quotePrefix="0" xfId="0">
      <alignment horizontal="right" vertical="center"/>
    </xf>
    <xf numFmtId="166" fontId="9" fillId="0" borderId="2" applyAlignment="1" pivotButton="0" quotePrefix="0" xfId="0">
      <alignment horizontal="right" vertical="center"/>
    </xf>
    <xf numFmtId="10" fontId="9" fillId="0" borderId="2" applyAlignment="1" pivotButton="0" quotePrefix="0" xfId="0">
      <alignment horizontal="right" vertical="center"/>
    </xf>
    <xf numFmtId="2" fontId="10" fillId="0" borderId="2" applyAlignment="1" pivotButton="0" quotePrefix="0" xfId="0">
      <alignment horizontal="right" vertical="center"/>
    </xf>
    <xf numFmtId="1" fontId="10" fillId="0" borderId="2" applyAlignment="1" pivotButton="0" quotePrefix="0" xfId="0">
      <alignment horizontal="right" vertical="bottom"/>
    </xf>
    <xf numFmtId="2" fontId="10" fillId="4" borderId="2" applyAlignment="1" pivotButton="0" quotePrefix="0" xfId="0">
      <alignment horizontal="right" vertical="bottom"/>
    </xf>
    <xf numFmtId="2" fontId="10" fillId="0" borderId="2" applyAlignment="1" pivotButton="0" quotePrefix="0" xfId="0">
      <alignment horizontal="right" vertical="bottom"/>
    </xf>
    <xf numFmtId="164" fontId="10" fillId="4" borderId="2" applyAlignment="1" pivotButton="0" quotePrefix="0" xfId="0">
      <alignment horizontal="right" vertical="bottom"/>
    </xf>
    <xf numFmtId="167" fontId="10" fillId="4" borderId="2" applyAlignment="1" pivotButton="0" quotePrefix="0" xfId="0">
      <alignment horizontal="right" vertical="bottom"/>
    </xf>
    <xf numFmtId="166" fontId="10" fillId="0" borderId="2" applyAlignment="1" pivotButton="0" quotePrefix="0" xfId="0">
      <alignment horizontal="right" vertical="bottom"/>
    </xf>
    <xf numFmtId="166" fontId="12" fillId="6" borderId="2" applyAlignment="1" pivotButton="0" quotePrefix="0" xfId="0">
      <alignment horizontal="right" vertical="bottom"/>
    </xf>
    <xf numFmtId="164" fontId="12" fillId="6" borderId="2" applyAlignment="1" pivotButton="0" quotePrefix="0" xfId="0">
      <alignment horizontal="right" vertical="bottom"/>
    </xf>
    <xf numFmtId="1" fontId="10" fillId="0" borderId="2" applyAlignment="1" pivotButton="0" quotePrefix="0" xfId="0">
      <alignment horizontal="right" vertical="center"/>
    </xf>
    <xf numFmtId="168" fontId="10" fillId="0" borderId="2" applyAlignment="1" pivotButton="0" quotePrefix="0" xfId="0">
      <alignment horizontal="right" vertical="center"/>
    </xf>
    <xf numFmtId="0" fontId="9" fillId="0" borderId="2" applyAlignment="1" pivotButton="0" quotePrefix="0" xfId="0">
      <alignment horizontal="right" vertical="bottom"/>
    </xf>
    <xf numFmtId="1" fontId="10" fillId="4" borderId="2" applyAlignment="1" pivotButton="0" quotePrefix="0" xfId="0">
      <alignment horizontal="right" vertical="bottom"/>
    </xf>
    <xf numFmtId="166" fontId="10" fillId="5" borderId="2" applyAlignment="1" pivotButton="0" quotePrefix="0" xfId="0">
      <alignment horizontal="right" vertical="bottom"/>
    </xf>
    <xf numFmtId="166" fontId="10" fillId="4" borderId="2" applyAlignment="1" pivotButton="0" quotePrefix="0" xfId="0">
      <alignment horizontal="right" vertical="bottom"/>
    </xf>
    <xf numFmtId="1" fontId="10" fillId="5" borderId="2" applyAlignment="1" pivotButton="0" quotePrefix="0" xfId="0">
      <alignment horizontal="right" vertical="bottom"/>
    </xf>
    <xf numFmtId="168" fontId="10" fillId="0" borderId="2" applyAlignment="1" pivotButton="0" quotePrefix="0" xfId="0">
      <alignment horizontal="right" vertical="bottom"/>
    </xf>
    <xf numFmtId="164" fontId="10" fillId="0" borderId="2" applyAlignment="1" pivotButton="0" quotePrefix="0" xfId="0">
      <alignment horizontal="right" vertical="bottom"/>
    </xf>
    <xf numFmtId="3" fontId="10" fillId="0" borderId="2" applyAlignment="1" pivotButton="0" quotePrefix="0" xfId="0">
      <alignment horizontal="right" vertical="center"/>
    </xf>
    <xf numFmtId="0" fontId="13" fillId="7" borderId="2" applyAlignment="1" pivotButton="0" quotePrefix="0" xfId="0">
      <alignment horizontal="center" vertical="center"/>
    </xf>
    <xf numFmtId="3" fontId="9" fillId="4" borderId="2" applyAlignment="1" pivotButton="0" quotePrefix="0" xfId="0">
      <alignment horizontal="right" vertical="center"/>
    </xf>
    <xf numFmtId="1" fontId="8" fillId="5" borderId="2" applyAlignment="1" pivotButton="0" quotePrefix="0" xfId="0">
      <alignment horizontal="center" vertical="center"/>
    </xf>
    <xf numFmtId="3" fontId="9" fillId="5" borderId="2" applyAlignment="1" pivotButton="0" quotePrefix="0" xfId="0">
      <alignment horizontal="right" vertical="center"/>
    </xf>
    <xf numFmtId="0" fontId="13" fillId="5" borderId="2" applyAlignment="1" pivotButton="0" quotePrefix="0" xfId="0">
      <alignment horizontal="center" vertical="center"/>
    </xf>
    <xf numFmtId="3" fontId="14" fillId="0" borderId="2" applyAlignment="1" pivotButton="0" quotePrefix="0" xfId="0">
      <alignment horizontal="right" vertical="center"/>
    </xf>
    <xf numFmtId="166" fontId="10" fillId="0" borderId="2" applyAlignment="1" pivotButton="0" quotePrefix="0" xfId="0">
      <alignment horizontal="right" vertical="center"/>
    </xf>
    <xf numFmtId="9" fontId="9" fillId="0" borderId="2" applyAlignment="1" pivotButton="0" quotePrefix="0" xfId="0">
      <alignment horizontal="right" vertical="center"/>
    </xf>
    <xf numFmtId="3" fontId="10" fillId="0" borderId="2" applyAlignment="1" pivotButton="0" quotePrefix="0" xfId="0">
      <alignment horizontal="right" vertical="bottom"/>
    </xf>
    <xf numFmtId="164" fontId="10" fillId="6" borderId="2" applyAlignment="1" pivotButton="0" quotePrefix="0" xfId="0">
      <alignment horizontal="right" vertical="bottom"/>
    </xf>
    <xf numFmtId="166" fontId="9" fillId="0" borderId="2" applyAlignment="1" pivotButton="0" quotePrefix="0" xfId="0">
      <alignment horizontal="right" vertical="bottom"/>
    </xf>
    <xf numFmtId="0" fontId="8" fillId="6" borderId="2" applyAlignment="1" pivotButton="0" quotePrefix="0" xfId="0">
      <alignment horizontal="left" vertical="center"/>
    </xf>
    <xf numFmtId="166" fontId="9" fillId="6" borderId="2" applyAlignment="1" pivotButton="0" quotePrefix="0" xfId="0">
      <alignment horizontal="right" vertical="bottom"/>
    </xf>
    <xf numFmtId="9" fontId="9" fillId="0" borderId="2" applyAlignment="1" pivotButton="0" quotePrefix="0" xfId="0">
      <alignment horizontal="right" vertical="bottom"/>
    </xf>
    <xf numFmtId="1" fontId="9" fillId="4" borderId="2" applyAlignment="1" pivotButton="0" quotePrefix="0" xfId="0">
      <alignment horizontal="right" vertical="bottom"/>
    </xf>
    <xf numFmtId="1" fontId="9" fillId="0" borderId="2" applyAlignment="1" pivotButton="0" quotePrefix="0" xfId="0">
      <alignment horizontal="right" vertical="bottom"/>
    </xf>
    <xf numFmtId="9" fontId="9" fillId="6" borderId="2" applyAlignment="1" pivotButton="0" quotePrefix="0" xfId="0">
      <alignment horizontal="right" vertical="bottom"/>
    </xf>
    <xf numFmtId="9" fontId="9" fillId="4" borderId="2" applyAlignment="1" pivotButton="0" quotePrefix="0" xfId="0">
      <alignment horizontal="right" vertical="bottom"/>
    </xf>
    <xf numFmtId="0" fontId="10" fillId="0" borderId="2" applyAlignment="1" pivotButton="0" quotePrefix="0" xfId="0">
      <alignment horizontal="left" vertical="center"/>
    </xf>
    <xf numFmtId="0" fontId="10" fillId="4" borderId="2" applyAlignment="1" pivotButton="0" quotePrefix="0" xfId="0">
      <alignment horizontal="left" vertical="center"/>
    </xf>
    <xf numFmtId="0" fontId="12" fillId="5" borderId="2" applyAlignment="1" pivotButton="0" quotePrefix="0" xfId="0">
      <alignment horizontal="left" vertical="center"/>
    </xf>
    <xf numFmtId="164" fontId="12" fillId="5" borderId="2" applyAlignment="1" pivotButton="0" quotePrefix="0" xfId="0">
      <alignment horizontal="right" vertical="bottom"/>
    </xf>
    <xf numFmtId="0" fontId="8" fillId="8" borderId="2" applyAlignment="1" pivotButton="0" quotePrefix="0" xfId="0">
      <alignment horizontal="center" vertical="center"/>
    </xf>
    <xf numFmtId="164" fontId="15" fillId="0" borderId="2" applyAlignment="1" pivotButton="0" quotePrefix="0" xfId="0">
      <alignment horizontal="right" vertical="bottom"/>
    </xf>
    <xf numFmtId="0" fontId="8" fillId="4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164" fontId="16" fillId="6" borderId="2" applyAlignment="1" pivotButton="0" quotePrefix="0" xfId="0">
      <alignment horizontal="right" vertical="bottom"/>
    </xf>
    <xf numFmtId="0" fontId="11" fillId="0" borderId="0" applyAlignment="1" pivotButton="0" quotePrefix="0" xfId="0">
      <alignment horizontal="general" vertical="bottom" wrapText="1"/>
    </xf>
    <xf numFmtId="9" fontId="9" fillId="7" borderId="2" applyAlignment="1" pivotButton="0" quotePrefix="0" xfId="0">
      <alignment horizontal="right" vertical="center"/>
    </xf>
    <xf numFmtId="9" fontId="9" fillId="8" borderId="2" applyAlignment="1" pivotButton="0" quotePrefix="0" xfId="0">
      <alignment horizontal="right" vertical="center"/>
    </xf>
    <xf numFmtId="9" fontId="9" fillId="4" borderId="2" applyAlignment="1" pivotButton="0" quotePrefix="0" xfId="0">
      <alignment horizontal="right" vertical="center"/>
    </xf>
    <xf numFmtId="3" fontId="12" fillId="5" borderId="2" applyAlignment="1" pivotButton="0" quotePrefix="0" xfId="0">
      <alignment horizontal="right" vertical="bottom"/>
    </xf>
    <xf numFmtId="164" fontId="9" fillId="7" borderId="2" applyAlignment="1" pivotButton="0" quotePrefix="0" xfId="0">
      <alignment horizontal="right" vertical="center"/>
    </xf>
    <xf numFmtId="0" fontId="10" fillId="0" borderId="2" applyAlignment="1" pivotButton="0" quotePrefix="0" xfId="0">
      <alignment horizontal="center" vertical="center"/>
    </xf>
    <xf numFmtId="164" fontId="10" fillId="4" borderId="2" applyAlignment="1" pivotButton="0" quotePrefix="0" xfId="0">
      <alignment horizontal="right" vertical="center"/>
    </xf>
    <xf numFmtId="10" fontId="9" fillId="4" borderId="2" applyAlignment="1" pivotButton="0" quotePrefix="0" xfId="0">
      <alignment horizontal="right" vertical="center"/>
    </xf>
    <xf numFmtId="166" fontId="9" fillId="4" borderId="2" applyAlignment="1" pivotButton="0" quotePrefix="0" xfId="0">
      <alignment horizontal="right" vertical="center"/>
    </xf>
    <xf numFmtId="0" fontId="10" fillId="4" borderId="2" applyAlignment="1" pivotButton="0" quotePrefix="0" xfId="0">
      <alignment horizontal="center" vertical="center"/>
    </xf>
    <xf numFmtId="164" fontId="9" fillId="8" borderId="2" applyAlignment="1" pivotButton="0" quotePrefix="0" xfId="0">
      <alignment horizontal="right" vertical="center"/>
    </xf>
    <xf numFmtId="164" fontId="10" fillId="5" borderId="2" applyAlignment="1" pivotButton="0" quotePrefix="0" xfId="0">
      <alignment horizontal="right" vertical="bottom"/>
    </xf>
    <xf numFmtId="2" fontId="10" fillId="5" borderId="2" applyAlignment="1" pivotButton="0" quotePrefix="0" xfId="0">
      <alignment horizontal="right" vertical="bottom"/>
    </xf>
    <xf numFmtId="0" fontId="17" fillId="0" borderId="0" pivotButton="0" quotePrefix="0" xfId="0"/>
    <xf numFmtId="0" fontId="18" fillId="0" borderId="0" pivotButton="0" quotePrefix="0" xfId="0"/>
    <xf numFmtId="0" fontId="19" fillId="9" borderId="0" applyAlignment="1" pivotButton="0" quotePrefix="0" xfId="0">
      <alignment horizontal="center" vertical="center"/>
    </xf>
    <xf numFmtId="0" fontId="20" fillId="10" borderId="0" pivotButton="0" quotePrefix="0" xfId="0"/>
    <xf numFmtId="0" fontId="21" fillId="10" borderId="0" pivotButton="0" quotePrefix="0" xfId="0"/>
    <xf numFmtId="0" fontId="22" fillId="10" borderId="0" pivotButton="0" quotePrefix="0" xfId="0"/>
    <xf numFmtId="0" fontId="20" fillId="11" borderId="0" pivotButton="0" quotePrefix="0" xfId="0"/>
    <xf numFmtId="0" fontId="21" fillId="11" borderId="0" pivotButton="0" quotePrefix="0" xfId="0"/>
    <xf numFmtId="0" fontId="22" fillId="11" borderId="0" pivotButton="0" quotePrefix="0" xfId="0"/>
    <xf numFmtId="0" fontId="23" fillId="10" borderId="0" pivotButton="0" quotePrefix="0" xfId="0"/>
    <xf numFmtId="0" fontId="23" fillId="11" borderId="0" pivotButton="0" quotePrefix="0" xfId="0"/>
    <xf numFmtId="0" fontId="24" fillId="10" borderId="0" pivotButton="0" quotePrefix="0" xfId="0"/>
    <xf numFmtId="0" fontId="21" fillId="10" borderId="0" applyAlignment="1" pivotButton="0" quotePrefix="0" xfId="0">
      <alignment vertical="top" wrapText="1"/>
    </xf>
    <xf numFmtId="0" fontId="24" fillId="11" borderId="0" pivotButton="0" quotePrefix="0" xfId="0"/>
    <xf numFmtId="0" fontId="21" fillId="11" borderId="0" applyAlignment="1" pivotButton="0" quotePrefix="0" xfId="0">
      <alignment vertical="top" wrapText="1"/>
    </xf>
    <xf numFmtId="0" fontId="21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19" fillId="12" borderId="0" applyAlignment="1" pivotButton="0" quotePrefix="0" xfId="0">
      <alignment horizontal="center" vertical="center"/>
    </xf>
    <xf numFmtId="0" fontId="23" fillId="10" borderId="0" applyAlignment="1" pivotButton="0" quotePrefix="0" xfId="0">
      <alignment vertical="top" wrapText="1"/>
    </xf>
    <xf numFmtId="0" fontId="23" fillId="11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EC5"/>
      <rgbColor rgb="FF808080"/>
      <rgbColor rgb="FF9999FF"/>
      <rgbColor rgb="FF993366"/>
      <rgbColor rgb="FFFFF3CC"/>
      <rgbColor rgb="FFEEF3F8"/>
      <rgbColor rgb="FF660066"/>
      <rgbColor rgb="FFFF8080"/>
      <rgbColor rgb="FF1E6FA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DDED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D1F3C"/>
      <rgbColor rgb="FF2E8B57"/>
      <rgbColor rgb="FF003300"/>
      <rgbColor rgb="FF222222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3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0" customWidth="1" style="89" min="1" max="1"/>
    <col width="14" customWidth="1" style="89" min="2" max="2"/>
    <col width="26" customWidth="1" style="89" min="3" max="3"/>
    <col width="28" customWidth="1" style="89" min="4" max="4"/>
    <col width="16" customWidth="1" style="89" min="5" max="5"/>
    <col width="12" customWidth="1" style="89" min="6" max="8"/>
  </cols>
  <sheetData>
    <row r="1" ht="31.5" customHeight="1" s="90">
      <c r="A1" s="91" t="inlineStr">
        <is>
          <t>BIOTECH &amp; LIFE SCIENCES  |  INVESTMENT MEMO DATA WORKBOOK  |  Q1 2025</t>
        </is>
      </c>
    </row>
    <row r="2" ht="19.5" customHeight="1" s="90">
      <c r="A2" s="92" t="inlineStr">
        <is>
          <t>Memo Reference: Inflection Point in the Innovation Cycle</t>
        </is>
      </c>
    </row>
    <row r="4" ht="15" customHeight="1" s="90">
      <c r="A4" s="93" t="inlineStr">
        <is>
          <t>INVESTMENT THESIS</t>
        </is>
      </c>
      <c r="B4" s="94" t="n"/>
      <c r="C4" s="94" t="n"/>
      <c r="D4" s="94" t="n"/>
      <c r="E4" s="94" t="n"/>
      <c r="F4" s="94" t="n"/>
      <c r="G4" s="94" t="n"/>
      <c r="H4" s="94" t="n"/>
    </row>
    <row r="5" ht="18" customHeight="1" s="90">
      <c r="A5" s="95" t="inlineStr">
        <is>
          <t>Global biotech trades at a 27% discount to its 10-year mean EV/Sales multiple following a 66% peak-to-trough drawdown in the XBI between 2021 and 2022. The sector reset has created an opportunity rarely seen outside a recessionary credit event. Three structural forces are now converging: a record FDA approval pipeline, an accelerating M&amp;A cycle driven by Big Pharma patent cliffs, and the early-stage productivity lift from AI-assisted drug discovery platforms. We target 35-55% upside in select mid-cap biotech names on a 24-36 month view, underpinned by quantitative valuation regression, M&amp;A probability-weighted return analysis, and scenario modelling across bull/base/bear FDA and macro assumptions.</t>
        </is>
      </c>
    </row>
    <row r="6" ht="18" customHeight="1" s="90"/>
    <row r="7" ht="18" customHeight="1" s="90"/>
    <row r="9" ht="18" customHeight="1" s="90">
      <c r="A9" s="96" t="inlineStr">
        <is>
          <t>KEY METRICS SUMMARY</t>
        </is>
      </c>
      <c r="B9" s="97" t="n"/>
      <c r="C9" s="97" t="n"/>
      <c r="D9" s="97" t="n"/>
      <c r="E9" s="97" t="n"/>
      <c r="F9" s="97" t="n"/>
      <c r="G9" s="97" t="n"/>
      <c r="H9" s="98" t="n"/>
    </row>
    <row r="10" ht="15" customHeight="1" s="90">
      <c r="A10" s="99" t="inlineStr">
        <is>
          <t>Metric</t>
        </is>
      </c>
      <c r="B10" s="99" t="inlineStr">
        <is>
          <t>Value</t>
        </is>
      </c>
      <c r="C10" s="99" t="inlineStr">
        <is>
          <t>Period / Benchmark</t>
        </is>
      </c>
      <c r="D10" s="99" t="inlineStr">
        <is>
          <t>Source</t>
        </is>
      </c>
      <c r="E10" s="99" t="inlineStr">
        <is>
          <t>Signal</t>
        </is>
      </c>
    </row>
    <row r="11" ht="13.5" customHeight="1" s="90">
      <c r="A11" s="100" t="inlineStr">
        <is>
          <t>XBI NTM EV/Sales (current)</t>
        </is>
      </c>
      <c r="B11" s="101" t="inlineStr">
        <is>
          <t>5.5x</t>
        </is>
      </c>
      <c r="C11" s="100" t="inlineStr">
        <is>
          <t>10yr mean: 7.2x</t>
        </is>
      </c>
      <c r="D11" s="100" t="inlineStr">
        <is>
          <t>Bloomberg / IBB consensus</t>
        </is>
      </c>
      <c r="E11" s="102" t="inlineStr">
        <is>
          <t>BUY</t>
        </is>
      </c>
    </row>
    <row r="12" ht="13.5" customHeight="1" s="90">
      <c r="A12" s="103" t="inlineStr">
        <is>
          <t>XBI 10yr Mean EV/Sales</t>
        </is>
      </c>
      <c r="B12" s="104" t="inlineStr">
        <is>
          <t>7.2x</t>
        </is>
      </c>
      <c r="C12" s="103" t="inlineStr">
        <is>
          <t>2014-2024 avg</t>
        </is>
      </c>
      <c r="D12" s="103" t="inlineStr">
        <is>
          <t>Bloomberg, FactSet</t>
        </is>
      </c>
      <c r="E12" s="105" t="inlineStr">
        <is>
          <t>Reference</t>
        </is>
      </c>
    </row>
    <row r="13" ht="13.5" customHeight="1" s="90">
      <c r="A13" s="100" t="inlineStr">
        <is>
          <t>Sector Discount to Mean</t>
        </is>
      </c>
      <c r="B13" s="101" t="inlineStr">
        <is>
          <t>-27%</t>
        </is>
      </c>
      <c r="C13" s="100" t="inlineStr">
        <is>
          <t>vs 10yr mean</t>
        </is>
      </c>
      <c r="D13" s="100" t="inlineStr">
        <is>
          <t>Calculated (see Tab 3)</t>
        </is>
      </c>
      <c r="E13" s="102" t="inlineStr">
        <is>
          <t>Undervalued</t>
        </is>
      </c>
    </row>
    <row r="14" ht="13.5" customHeight="1" s="90">
      <c r="A14" s="103" t="inlineStr">
        <is>
          <t>XBI Peak-to-Trough Drawdown</t>
        </is>
      </c>
      <c r="B14" s="104" t="inlineStr">
        <is>
          <t>-66%</t>
        </is>
      </c>
      <c r="C14" s="103" t="inlineStr">
        <is>
          <t>Feb 2021 - May 2022</t>
        </is>
      </c>
      <c r="D14" s="103" t="inlineStr">
        <is>
          <t>Bloomberg</t>
        </is>
      </c>
      <c r="E14" s="105" t="inlineStr">
        <is>
          <t>Reset Complete</t>
        </is>
      </c>
    </row>
    <row r="15" ht="13.5" customHeight="1" s="90">
      <c r="A15" s="100" t="inlineStr">
        <is>
          <t>FDA NME Approvals 2024</t>
        </is>
      </c>
      <c r="B15" s="101" t="inlineStr">
        <is>
          <t>50</t>
        </is>
      </c>
      <c r="C15" s="100" t="inlineStr">
        <is>
          <t>10yr avg: 46</t>
        </is>
      </c>
      <c r="D15" s="100" t="inlineStr">
        <is>
          <t>FDA CDER/CBER</t>
        </is>
      </c>
      <c r="E15" s="102" t="inlineStr">
        <is>
          <t>Positive</t>
        </is>
      </c>
    </row>
    <row r="16" ht="13.5" customHeight="1" s="90">
      <c r="A16" s="103" t="inlineStr">
        <is>
          <t>FDA NME Approvals 2023</t>
        </is>
      </c>
      <c r="B16" s="104" t="inlineStr">
        <is>
          <t>55</t>
        </is>
      </c>
      <c r="C16" s="103" t="inlineStr">
        <is>
          <t>Cycle high</t>
        </is>
      </c>
      <c r="D16" s="103" t="inlineStr">
        <is>
          <t>FDA CDER/CBER</t>
        </is>
      </c>
      <c r="E16" s="102" t="inlineStr">
        <is>
          <t>Positive</t>
        </is>
      </c>
    </row>
    <row r="17" ht="13.5" customHeight="1" s="90">
      <c r="A17" s="100" t="inlineStr">
        <is>
          <t>Big Pharma Patent Cliff 2025-30</t>
        </is>
      </c>
      <c r="B17" s="101" t="inlineStr">
        <is>
          <t>$180bn</t>
        </is>
      </c>
      <c r="C17" s="100" t="inlineStr">
        <is>
          <t>Revenue at risk</t>
        </is>
      </c>
      <c r="D17" s="100" t="inlineStr">
        <is>
          <t>Evaluate Pharma 2024</t>
        </is>
      </c>
      <c r="E17" s="105" t="inlineStr">
        <is>
          <t>M&amp;A Driver</t>
        </is>
      </c>
    </row>
    <row r="18" ht="13.5" customHeight="1" s="90">
      <c r="A18" s="103" t="inlineStr">
        <is>
          <t>Biotech M&amp;A Deal Value 2023</t>
        </is>
      </c>
      <c r="B18" s="104" t="inlineStr">
        <is>
          <t>$148bn</t>
        </is>
      </c>
      <c r="C18" s="103" t="inlineStr">
        <is>
          <t>vs 2022: $78bn</t>
        </is>
      </c>
      <c r="D18" s="103" t="inlineStr">
        <is>
          <t>Bloomberg, Dealogic</t>
        </is>
      </c>
      <c r="E18" s="102" t="inlineStr">
        <is>
          <t>Accelerating</t>
        </is>
      </c>
    </row>
    <row r="19" ht="13.5" customHeight="1" s="90">
      <c r="A19" s="100" t="inlineStr">
        <is>
          <t>Mean Biotech M&amp;A Premium</t>
        </is>
      </c>
      <c r="B19" s="101" t="inlineStr">
        <is>
          <t>64%</t>
        </is>
      </c>
      <c r="C19" s="100" t="inlineStr">
        <is>
          <t>5yr avg (deals &gt;$500m)</t>
        </is>
      </c>
      <c r="D19" s="100" t="inlineStr">
        <is>
          <t>Bloomberg M&amp;A data</t>
        </is>
      </c>
      <c r="E19" s="102" t="inlineStr">
        <is>
          <t>Positive</t>
        </is>
      </c>
    </row>
    <row r="20" ht="13.5" customHeight="1" s="90">
      <c r="A20" s="103" t="inlineStr">
        <is>
          <t>GLP-1 Market Size 2030E</t>
        </is>
      </c>
      <c r="B20" s="104" t="inlineStr">
        <is>
          <t>$130bn</t>
        </is>
      </c>
      <c r="C20" s="103" t="inlineStr">
        <is>
          <t>Total obesity market</t>
        </is>
      </c>
      <c r="D20" s="103" t="inlineStr">
        <is>
          <t>Morgan Stanley, 2024</t>
        </is>
      </c>
      <c r="E20" s="105" t="inlineStr">
        <is>
          <t>Secular Theme</t>
        </is>
      </c>
    </row>
    <row r="21" ht="13.5" customHeight="1" s="90">
      <c r="A21" s="100" t="inlineStr">
        <is>
          <t>Phase 3 Clinical Success Rate</t>
        </is>
      </c>
      <c r="B21" s="101" t="inlineStr">
        <is>
          <t>57%</t>
        </is>
      </c>
      <c r="C21" s="100" t="inlineStr">
        <is>
          <t>2019-2024 avg</t>
        </is>
      </c>
      <c r="D21" s="100" t="inlineStr">
        <is>
          <t>Citeline / Informa Pharma</t>
        </is>
      </c>
      <c r="E21" s="105" t="inlineStr">
        <is>
          <t>Manageable</t>
        </is>
      </c>
    </row>
    <row r="22" ht="13.5" customHeight="1" s="90">
      <c r="A22" s="103" t="inlineStr">
        <is>
          <t>AI Drug Discovery Time Saving</t>
        </is>
      </c>
      <c r="B22" s="104" t="inlineStr">
        <is>
          <t>30-40%</t>
        </is>
      </c>
      <c r="C22" s="103" t="inlineStr">
        <is>
          <t>Preclinical timeline cut</t>
        </is>
      </c>
      <c r="D22" s="103" t="inlineStr">
        <is>
          <t>MIT / Insilico, 2024</t>
        </is>
      </c>
      <c r="E22" s="105" t="inlineStr">
        <is>
          <t>Tailwind</t>
        </is>
      </c>
    </row>
    <row r="25" ht="18" customHeight="1" s="90">
      <c r="A25" s="91" t="inlineStr">
        <is>
          <t>WORKBOOK NAVIGATION</t>
        </is>
      </c>
    </row>
    <row r="26" ht="13.5" customHeight="1" s="90">
      <c r="A26" s="106" t="inlineStr">
        <is>
          <t>1.Overview</t>
        </is>
      </c>
      <c r="B26" s="107" t="inlineStr">
        <is>
          <t>Summary thesis, key metrics, and workbook guide</t>
        </is>
      </c>
      <c r="C26" s="97" t="n"/>
      <c r="D26" s="97" t="n"/>
      <c r="E26" s="97" t="n"/>
      <c r="F26" s="97" t="n"/>
      <c r="G26" s="97" t="n"/>
      <c r="H26" s="97" t="n"/>
    </row>
    <row r="27" ht="13.5" customHeight="1" s="90">
      <c r="A27" s="106" t="inlineStr">
        <is>
          <t>2.Macro Thesis</t>
        </is>
      </c>
      <c r="B27" s="107" t="inlineStr">
        <is>
          <t>Demographic data, GLP-1 market sizing, AI drug discovery timeline analysis</t>
        </is>
      </c>
      <c r="C27" s="97" t="n"/>
      <c r="D27" s="97" t="n"/>
      <c r="E27" s="97" t="n"/>
      <c r="F27" s="97" t="n"/>
      <c r="G27" s="97" t="n"/>
      <c r="H27" s="97" t="n"/>
    </row>
    <row r="28" ht="13.5" customHeight="1" s="90">
      <c r="A28" s="106" t="inlineStr">
        <is>
          <t>3.EV/Sales Regression</t>
        </is>
      </c>
      <c r="B28" s="107" t="inlineStr">
        <is>
          <t>XBI NTM EV/Sales historical data, OLS regression, current discount calculation</t>
        </is>
      </c>
      <c r="C28" s="97" t="n"/>
      <c r="D28" s="97" t="n"/>
      <c r="E28" s="97" t="n"/>
      <c r="F28" s="97" t="n"/>
      <c r="G28" s="97" t="n"/>
      <c r="H28" s="97" t="n"/>
    </row>
    <row r="29" ht="13.5" customHeight="1" s="90">
      <c r="A29" s="106" t="inlineStr">
        <is>
          <t>4.FDA Approvals</t>
        </is>
      </c>
      <c r="B29" s="107" t="inlineStr">
        <is>
          <t>Annual FDA NME/BLA approvals 2014-2024, trend analysis, cycle statistics</t>
        </is>
      </c>
      <c r="C29" s="97" t="n"/>
      <c r="D29" s="97" t="n"/>
      <c r="E29" s="97" t="n"/>
      <c r="F29" s="97" t="n"/>
      <c r="G29" s="97" t="n"/>
      <c r="H29" s="97" t="n"/>
    </row>
    <row r="30" ht="13.5" customHeight="1" s="90">
      <c r="A30" s="106" t="inlineStr">
        <is>
          <t>5.Patent Cliff &amp; M&amp;A</t>
        </is>
      </c>
      <c r="B30" s="107" t="inlineStr">
        <is>
          <t>Big Pharma patent cliff revenue data, M&amp;A deal volume, premium analysis</t>
        </is>
      </c>
      <c r="C30" s="97" t="n"/>
      <c r="D30" s="97" t="n"/>
      <c r="E30" s="97" t="n"/>
      <c r="F30" s="97" t="n"/>
      <c r="G30" s="97" t="n"/>
      <c r="H30" s="97" t="n"/>
    </row>
    <row r="31" ht="13.5" customHeight="1" s="90">
      <c r="A31" s="106" t="inlineStr">
        <is>
          <t>6.Scenario Model</t>
        </is>
      </c>
      <c r="B31" s="107" t="inlineStr">
        <is>
          <t>Bull/base/bear return scenarios across EV/Sales re-rating and M&amp;A probability</t>
        </is>
      </c>
      <c r="C31" s="97" t="n"/>
      <c r="D31" s="97" t="n"/>
      <c r="E31" s="97" t="n"/>
      <c r="F31" s="97" t="n"/>
      <c r="G31" s="97" t="n"/>
      <c r="H31" s="97" t="n"/>
    </row>
  </sheetData>
  <mergeCells count="12">
    <mergeCell ref="A9:H9"/>
    <mergeCell ref="A4:H4"/>
    <mergeCell ref="B28:H28"/>
    <mergeCell ref="B26:H26"/>
    <mergeCell ref="B27:H27"/>
    <mergeCell ref="A25:H25"/>
    <mergeCell ref="A2:H2"/>
    <mergeCell ref="A5:H7"/>
    <mergeCell ref="B30:H30"/>
    <mergeCell ref="B29:H29"/>
    <mergeCell ref="A1:H1"/>
    <mergeCell ref="B31:H3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3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" customWidth="1" style="89" min="1" max="1"/>
    <col width="16" customWidth="1" style="89" min="2" max="3"/>
    <col width="14" customWidth="1" style="89" min="4" max="4"/>
    <col width="16" customWidth="1" style="89" min="5" max="6"/>
    <col width="14" customWidth="1" style="89" min="7" max="7"/>
    <col width="32" customWidth="1" style="89" min="8" max="8"/>
    <col width="12" customWidth="1" style="89" min="9" max="10"/>
  </cols>
  <sheetData>
    <row r="1" ht="27.75" customHeight="1" s="90">
      <c r="A1" s="91" t="inlineStr">
        <is>
          <t>MACRO THESIS  |  STRUCTURAL DEMAND &amp; INNOVATION DRIVERS</t>
        </is>
      </c>
    </row>
    <row r="3" ht="15" customHeight="1" s="90">
      <c r="A3" s="108" t="inlineStr">
        <is>
          <t>SECTION 1: AGING DEMOGRAPHICS &amp; HEALTHCARE SPENDING</t>
        </is>
      </c>
      <c r="B3" s="97" t="n"/>
      <c r="C3" s="97" t="n"/>
      <c r="D3" s="97" t="n"/>
      <c r="E3" s="97" t="n"/>
      <c r="F3" s="97" t="n"/>
      <c r="G3" s="97" t="n"/>
      <c r="H3" s="97" t="n"/>
      <c r="I3" s="97" t="n"/>
      <c r="J3" s="98" t="n"/>
    </row>
    <row r="4" ht="13.5" customHeight="1" s="90">
      <c r="A4" s="109" t="inlineStr">
        <is>
          <t>Region</t>
        </is>
      </c>
      <c r="B4" s="109" t="inlineStr">
        <is>
          <t>65+ Pop 2000 (m)</t>
        </is>
      </c>
      <c r="C4" s="109" t="inlineStr">
        <is>
          <t>65+ Pop 2024 (m)</t>
        </is>
      </c>
      <c r="D4" s="109" t="inlineStr">
        <is>
          <t>65+ Pop 2050E (m)</t>
        </is>
      </c>
      <c r="E4" s="109" t="inlineStr">
        <is>
          <t>CAGR 2024-50E</t>
        </is>
      </c>
      <c r="F4" s="109" t="inlineStr">
        <is>
          <t>Healthcare % GDP 2024</t>
        </is>
      </c>
      <c r="G4" s="109" t="inlineStr">
        <is>
          <t>Healthcare % GDP 2035E</t>
        </is>
      </c>
      <c r="H4" s="109" t="inlineStr">
        <is>
          <t>Key Indications</t>
        </is>
      </c>
    </row>
    <row r="5" ht="13.5" customHeight="1" s="90">
      <c r="A5" s="103" t="inlineStr">
        <is>
          <t>Global</t>
        </is>
      </c>
      <c r="B5" s="110" t="n">
        <v>420</v>
      </c>
      <c r="C5" s="110" t="n">
        <v>771</v>
      </c>
      <c r="D5" s="110" t="n">
        <v>1600</v>
      </c>
      <c r="E5" s="111">
        <f>((D5/C5)^(1/26))-1</f>
        <v/>
      </c>
      <c r="F5" s="112" t="n">
        <v>0.103</v>
      </c>
      <c r="G5" s="112" t="n">
        <v>0.128</v>
      </c>
      <c r="H5" s="103" t="inlineStr">
        <is>
          <t>Oncology, CNS, Cardiometabolic</t>
        </is>
      </c>
    </row>
    <row r="6" ht="13.5" customHeight="1" s="90">
      <c r="A6" s="100" t="inlineStr">
        <is>
          <t>United States</t>
        </is>
      </c>
      <c r="B6" s="110" t="n">
        <v>35</v>
      </c>
      <c r="C6" s="110" t="n">
        <v>58</v>
      </c>
      <c r="D6" s="110" t="n">
        <v>95</v>
      </c>
      <c r="E6" s="111">
        <f>((D6/C6)^(1/26))-1</f>
        <v/>
      </c>
      <c r="F6" s="112" t="n">
        <v>0.168</v>
      </c>
      <c r="G6" s="112" t="n">
        <v>0.192</v>
      </c>
      <c r="H6" s="103" t="inlineStr">
        <is>
          <t>Oncology, CVD, Alzheimers</t>
        </is>
      </c>
    </row>
    <row r="7" ht="13.5" customHeight="1" s="90">
      <c r="A7" s="103" t="inlineStr">
        <is>
          <t>European Union</t>
        </is>
      </c>
      <c r="B7" s="110" t="n">
        <v>74</v>
      </c>
      <c r="C7" s="110" t="n">
        <v>110</v>
      </c>
      <c r="D7" s="110" t="n">
        <v>160</v>
      </c>
      <c r="E7" s="111">
        <f>((D7/C7)^(1/26))-1</f>
        <v/>
      </c>
      <c r="F7" s="112" t="n">
        <v>0.101</v>
      </c>
      <c r="G7" s="112" t="n">
        <v>0.124</v>
      </c>
      <c r="H7" s="103" t="inlineStr">
        <is>
          <t>Oncology, Rare Disease</t>
        </is>
      </c>
    </row>
    <row r="8" ht="13.5" customHeight="1" s="90">
      <c r="A8" s="100" t="inlineStr">
        <is>
          <t>China</t>
        </is>
      </c>
      <c r="B8" s="110" t="n">
        <v>88</v>
      </c>
      <c r="C8" s="110" t="n">
        <v>209</v>
      </c>
      <c r="D8" s="110" t="n">
        <v>385</v>
      </c>
      <c r="E8" s="111">
        <f>((D8/C8)^(1/26))-1</f>
        <v/>
      </c>
      <c r="F8" s="112" t="n">
        <v>0.065</v>
      </c>
      <c r="G8" s="112" t="n">
        <v>0.091</v>
      </c>
      <c r="H8" s="103" t="inlineStr">
        <is>
          <t>Cardiometabolic, CNS</t>
        </is>
      </c>
    </row>
    <row r="9" ht="13.5" customHeight="1" s="90">
      <c r="A9" s="103" t="inlineStr">
        <is>
          <t>Japan</t>
        </is>
      </c>
      <c r="B9" s="110" t="n">
        <v>22</v>
      </c>
      <c r="C9" s="110" t="n">
        <v>36</v>
      </c>
      <c r="D9" s="110" t="n">
        <v>39</v>
      </c>
      <c r="E9" s="111">
        <f>((D9/C9)^(1/26))-1</f>
        <v/>
      </c>
      <c r="F9" s="112" t="n">
        <v>0.111</v>
      </c>
      <c r="G9" s="112" t="n">
        <v>0.13</v>
      </c>
      <c r="H9" s="103" t="inlineStr">
        <is>
          <t>Oncology, Rare Disease</t>
        </is>
      </c>
    </row>
    <row r="10" ht="13.5" customHeight="1" s="90">
      <c r="A10" s="100" t="inlineStr">
        <is>
          <t>Rest of World</t>
        </is>
      </c>
      <c r="B10" s="110" t="n">
        <v>201</v>
      </c>
      <c r="C10" s="110" t="n">
        <v>358</v>
      </c>
      <c r="D10" s="110" t="n">
        <v>921</v>
      </c>
      <c r="E10" s="111">
        <f>((D10/C10)^(1/26))-1</f>
        <v/>
      </c>
      <c r="F10" s="112" t="n">
        <v>0.062</v>
      </c>
      <c r="G10" s="112" t="n">
        <v>0.08799999999999999</v>
      </c>
      <c r="H10" s="103" t="inlineStr">
        <is>
          <t>Infectious Disease, Cardiometabolic</t>
        </is>
      </c>
    </row>
    <row r="11" ht="6" customHeight="1" s="90"/>
    <row r="12" ht="12" customHeight="1" s="90">
      <c r="A12" s="113" t="inlineStr">
        <is>
          <t>Source: WHO World Health Statistics 2024, OECD Health Statistics 2024, UN World Population Prospects 2024. Healthcare % GDP = total health expenditure.</t>
        </is>
      </c>
    </row>
    <row r="14" ht="15" customHeight="1" s="90">
      <c r="A14" s="108" t="inlineStr">
        <is>
          <t>SECTION 2: GLP-1 / METABOLIC DRUG MARKET SIZING ($bn)</t>
        </is>
      </c>
      <c r="B14" s="97" t="n"/>
      <c r="C14" s="97" t="n"/>
      <c r="D14" s="97" t="n"/>
      <c r="E14" s="97" t="n"/>
      <c r="F14" s="97" t="n"/>
      <c r="G14" s="97" t="n"/>
      <c r="H14" s="97" t="n"/>
      <c r="I14" s="97" t="n"/>
      <c r="J14" s="98" t="n"/>
    </row>
    <row r="15" ht="13.5" customHeight="1" s="90">
      <c r="A15" s="109" t="inlineStr">
        <is>
          <t>Year</t>
        </is>
      </c>
      <c r="B15" s="109" t="inlineStr">
        <is>
          <t>Obesity Market ($bn)</t>
        </is>
      </c>
      <c r="C15" s="109" t="inlineStr">
        <is>
          <t>Cardiometabolic Add-on ($bn)</t>
        </is>
      </c>
      <c r="D15" s="109" t="inlineStr">
        <is>
          <t>NASH/Liver ($bn)</t>
        </is>
      </c>
      <c r="E15" s="109" t="inlineStr">
        <is>
          <t>Sleep Apnoea ($bn)</t>
        </is>
      </c>
      <c r="F15" s="109" t="inlineStr">
        <is>
          <t>Total Addressable ($bn)</t>
        </is>
      </c>
      <c r="G15" s="109" t="inlineStr">
        <is>
          <t>YoY Growth</t>
        </is>
      </c>
    </row>
    <row r="16" ht="13.5" customHeight="1" s="90">
      <c r="A16" s="114" t="n">
        <v>2022</v>
      </c>
      <c r="B16" s="115" t="n">
        <v>3.5</v>
      </c>
      <c r="C16" s="115" t="n">
        <v>0.5</v>
      </c>
      <c r="D16" s="115" t="n">
        <v>0.2</v>
      </c>
      <c r="E16" s="115" t="n">
        <v>0</v>
      </c>
      <c r="F16" s="116">
        <f>SUM(B16:E16)</f>
        <v/>
      </c>
      <c r="G16" s="105" t="inlineStr">
        <is>
          <t>N/A</t>
        </is>
      </c>
    </row>
    <row r="17" ht="13.5" customHeight="1" s="90">
      <c r="A17" s="117" t="n">
        <v>2023</v>
      </c>
      <c r="B17" s="115" t="n">
        <v>12.4</v>
      </c>
      <c r="C17" s="115" t="n">
        <v>1.8</v>
      </c>
      <c r="D17" s="115" t="n">
        <v>0.5</v>
      </c>
      <c r="E17" s="115" t="n">
        <v>0.1</v>
      </c>
      <c r="F17" s="116">
        <f>SUM(B17:E17)</f>
        <v/>
      </c>
      <c r="G17" s="118">
        <f>(F17-F16)/F16</f>
        <v/>
      </c>
    </row>
    <row r="18" ht="13.5" customHeight="1" s="90">
      <c r="A18" s="114" t="n">
        <v>2024</v>
      </c>
      <c r="B18" s="115" t="n">
        <v>28</v>
      </c>
      <c r="C18" s="115" t="n">
        <v>5.2</v>
      </c>
      <c r="D18" s="115" t="n">
        <v>1.4</v>
      </c>
      <c r="E18" s="115" t="n">
        <v>0.4</v>
      </c>
      <c r="F18" s="116">
        <f>SUM(B18:E18)</f>
        <v/>
      </c>
      <c r="G18" s="118">
        <f>(F18-F17)/F17</f>
        <v/>
      </c>
    </row>
    <row r="19" ht="13.5" customHeight="1" s="90">
      <c r="A19" s="117" t="n">
        <v>2025</v>
      </c>
      <c r="B19" s="115" t="n">
        <v>46</v>
      </c>
      <c r="C19" s="115" t="n">
        <v>9</v>
      </c>
      <c r="D19" s="115" t="n">
        <v>3.2</v>
      </c>
      <c r="E19" s="115" t="n">
        <v>1.2</v>
      </c>
      <c r="F19" s="116">
        <f>SUM(B19:E19)</f>
        <v/>
      </c>
      <c r="G19" s="118">
        <f>(F19-F18)/F18</f>
        <v/>
      </c>
    </row>
    <row r="20" ht="13.5" customHeight="1" s="90">
      <c r="A20" s="114" t="n">
        <v>2026</v>
      </c>
      <c r="B20" s="115" t="n">
        <v>66</v>
      </c>
      <c r="C20" s="115" t="n">
        <v>14</v>
      </c>
      <c r="D20" s="115" t="n">
        <v>6</v>
      </c>
      <c r="E20" s="115" t="n">
        <v>2.5</v>
      </c>
      <c r="F20" s="116">
        <f>SUM(B20:E20)</f>
        <v/>
      </c>
      <c r="G20" s="118">
        <f>(F20-F19)/F19</f>
        <v/>
      </c>
    </row>
    <row r="21" ht="13.5" customHeight="1" s="90">
      <c r="A21" s="117" t="n">
        <v>2027</v>
      </c>
      <c r="B21" s="115" t="n">
        <v>88</v>
      </c>
      <c r="C21" s="115" t="n">
        <v>20</v>
      </c>
      <c r="D21" s="115" t="n">
        <v>9.5</v>
      </c>
      <c r="E21" s="115" t="n">
        <v>4</v>
      </c>
      <c r="F21" s="116">
        <f>SUM(B21:E21)</f>
        <v/>
      </c>
      <c r="G21" s="118">
        <f>(F21-F20)/F20</f>
        <v/>
      </c>
    </row>
    <row r="22" ht="13.5" customHeight="1" s="90">
      <c r="A22" s="114" t="n">
        <v>2028</v>
      </c>
      <c r="B22" s="115" t="n">
        <v>108</v>
      </c>
      <c r="C22" s="115" t="n">
        <v>26</v>
      </c>
      <c r="D22" s="115" t="n">
        <v>13</v>
      </c>
      <c r="E22" s="115" t="n">
        <v>5.5</v>
      </c>
      <c r="F22" s="116">
        <f>SUM(B22:E22)</f>
        <v/>
      </c>
      <c r="G22" s="118">
        <f>(F22-F21)/F21</f>
        <v/>
      </c>
    </row>
    <row r="23" ht="13.5" customHeight="1" s="90">
      <c r="A23" s="117" t="n">
        <v>2029</v>
      </c>
      <c r="B23" s="115" t="n">
        <v>118</v>
      </c>
      <c r="C23" s="115" t="n">
        <v>30</v>
      </c>
      <c r="D23" s="115" t="n">
        <v>15.5</v>
      </c>
      <c r="E23" s="115" t="n">
        <v>6.5</v>
      </c>
      <c r="F23" s="116">
        <f>SUM(B23:E23)</f>
        <v/>
      </c>
      <c r="G23" s="118">
        <f>(F23-F22)/F22</f>
        <v/>
      </c>
    </row>
    <row r="24" ht="13.5" customHeight="1" s="90">
      <c r="A24" s="114" t="n">
        <v>2030</v>
      </c>
      <c r="B24" s="115" t="n">
        <v>130</v>
      </c>
      <c r="C24" s="115" t="n">
        <v>35</v>
      </c>
      <c r="D24" s="115" t="n">
        <v>18</v>
      </c>
      <c r="E24" s="115" t="n">
        <v>7.5</v>
      </c>
      <c r="F24" s="116">
        <f>SUM(B24:E24)</f>
        <v/>
      </c>
      <c r="G24" s="118">
        <f>(F24-F23)/F23</f>
        <v/>
      </c>
    </row>
    <row r="25" ht="6" customHeight="1" s="90"/>
    <row r="26" ht="15.75" customHeight="1" s="90">
      <c r="A26" s="113" t="inlineStr">
        <is>
          <t>Source: Morgan Stanley Healthcare, Nov 2024; Evaluate Pharma GLP-1 forecast model; Goldman Sachs Obesity Drug Market Report, 2024. Cardiometabolic add-on includes CV risk reduction label expansion.</t>
        </is>
      </c>
    </row>
    <row r="28" ht="15" customHeight="1" s="90">
      <c r="A28" s="108" t="inlineStr">
        <is>
          <t>SECTION 3: AI DRUG DISCOVERY -- TIMELINE &amp; COST IMPACT</t>
        </is>
      </c>
      <c r="B28" s="97" t="n"/>
      <c r="C28" s="97" t="n"/>
      <c r="D28" s="97" t="n"/>
      <c r="E28" s="97" t="n"/>
      <c r="F28" s="97" t="n"/>
      <c r="G28" s="97" t="n"/>
      <c r="H28" s="97" t="n"/>
      <c r="I28" s="97" t="n"/>
      <c r="J28" s="98" t="n"/>
    </row>
    <row r="29" ht="13.5" customHeight="1" s="90">
      <c r="A29" s="109" t="inlineStr">
        <is>
          <t>Phase</t>
        </is>
      </c>
      <c r="B29" s="109" t="inlineStr">
        <is>
          <t>Traditional Timeline (months)</t>
        </is>
      </c>
      <c r="C29" s="109" t="inlineStr">
        <is>
          <t>AI-Assisted Timeline (months)</t>
        </is>
      </c>
      <c r="D29" s="109" t="inlineStr">
        <is>
          <t>Time Saving (%)</t>
        </is>
      </c>
      <c r="E29" s="109" t="inlineStr">
        <is>
          <t>Cost Traditional ($m)</t>
        </is>
      </c>
      <c r="F29" s="109" t="inlineStr">
        <is>
          <t>Cost AI-Assisted ($m)</t>
        </is>
      </c>
      <c r="G29" s="109" t="inlineStr">
        <is>
          <t>Cost Saving (%)</t>
        </is>
      </c>
      <c r="H29" s="109" t="inlineStr">
        <is>
          <t>Key Technology</t>
        </is>
      </c>
    </row>
    <row r="30" ht="15" customHeight="1" s="90">
      <c r="A30" s="103" t="inlineStr">
        <is>
          <t>Target ID &amp; Validation</t>
        </is>
      </c>
      <c r="B30" s="119" t="n">
        <v>12</v>
      </c>
      <c r="C30" s="119" t="n">
        <v>4</v>
      </c>
      <c r="D30" s="118">
        <f>(C30-B30)/B30</f>
        <v/>
      </c>
      <c r="E30" s="110" t="n">
        <v>15</v>
      </c>
      <c r="F30" s="110" t="n">
        <v>6</v>
      </c>
      <c r="G30" s="118">
        <f>(F30-E30)/E30</f>
        <v/>
      </c>
      <c r="H30" s="103" t="inlineStr">
        <is>
          <t>AlphaFold 3, generative chemistry</t>
        </is>
      </c>
    </row>
    <row r="31" ht="15" customHeight="1" s="90">
      <c r="A31" s="100" t="inlineStr">
        <is>
          <t>Hit Generation</t>
        </is>
      </c>
      <c r="B31" s="119" t="n">
        <v>18</v>
      </c>
      <c r="C31" s="119" t="n">
        <v>6</v>
      </c>
      <c r="D31" s="118">
        <f>(C31-B31)/B31</f>
        <v/>
      </c>
      <c r="E31" s="110" t="n">
        <v>25</v>
      </c>
      <c r="F31" s="110" t="n">
        <v>10</v>
      </c>
      <c r="G31" s="118">
        <f>(F31-E31)/E31</f>
        <v/>
      </c>
      <c r="H31" s="103" t="inlineStr">
        <is>
          <t>GenAI molecular generation</t>
        </is>
      </c>
    </row>
    <row r="32" ht="15" customHeight="1" s="90">
      <c r="A32" s="103" t="inlineStr">
        <is>
          <t>Lead Optimisation</t>
        </is>
      </c>
      <c r="B32" s="119" t="n">
        <v>24</v>
      </c>
      <c r="C32" s="119" t="n">
        <v>14</v>
      </c>
      <c r="D32" s="118">
        <f>(C32-B32)/B32</f>
        <v/>
      </c>
      <c r="E32" s="110" t="n">
        <v>40</v>
      </c>
      <c r="F32" s="110" t="n">
        <v>22</v>
      </c>
      <c r="G32" s="118">
        <f>(F32-E32)/E32</f>
        <v/>
      </c>
      <c r="H32" s="103" t="inlineStr">
        <is>
          <t>ADMET prediction, Schrödinger</t>
        </is>
      </c>
    </row>
    <row r="33" ht="15" customHeight="1" s="90">
      <c r="A33" s="100" t="inlineStr">
        <is>
          <t>Preclinical IND-enabling</t>
        </is>
      </c>
      <c r="B33" s="119" t="n">
        <v>18</v>
      </c>
      <c r="C33" s="119" t="n">
        <v>12</v>
      </c>
      <c r="D33" s="118">
        <f>(C33-B33)/B33</f>
        <v/>
      </c>
      <c r="E33" s="110" t="n">
        <v>35</v>
      </c>
      <c r="F33" s="110" t="n">
        <v>25</v>
      </c>
      <c r="G33" s="118">
        <f>(F33-E33)/E33</f>
        <v/>
      </c>
      <c r="H33" s="103" t="inlineStr">
        <is>
          <t>In silico toxicology, Insilico</t>
        </is>
      </c>
    </row>
    <row r="34" ht="15" customHeight="1" s="90">
      <c r="A34" s="103" t="inlineStr">
        <is>
          <t>Phase 1 Clinical</t>
        </is>
      </c>
      <c r="B34" s="119" t="n">
        <v>18</v>
      </c>
      <c r="C34" s="119" t="n">
        <v>16</v>
      </c>
      <c r="D34" s="118">
        <f>(C34-B34)/B34</f>
        <v/>
      </c>
      <c r="E34" s="110" t="n">
        <v>100</v>
      </c>
      <c r="F34" s="110" t="n">
        <v>90</v>
      </c>
      <c r="G34" s="118">
        <f>(F34-E34)/E34</f>
        <v/>
      </c>
      <c r="H34" s="103" t="inlineStr">
        <is>
          <t>AI patient selection</t>
        </is>
      </c>
    </row>
    <row r="35" ht="15" customHeight="1" s="90">
      <c r="A35" s="100" t="inlineStr">
        <is>
          <t>Phase 2 Clinical</t>
        </is>
      </c>
      <c r="B35" s="119" t="n">
        <v>30</v>
      </c>
      <c r="C35" s="119" t="n">
        <v>26</v>
      </c>
      <c r="D35" s="118">
        <f>(C35-B35)/B35</f>
        <v/>
      </c>
      <c r="E35" s="110" t="n">
        <v>250</v>
      </c>
      <c r="F35" s="110" t="n">
        <v>210</v>
      </c>
      <c r="G35" s="118">
        <f>(F35-E35)/E35</f>
        <v/>
      </c>
      <c r="H35" s="103" t="inlineStr">
        <is>
          <t>Adaptive trial design</t>
        </is>
      </c>
    </row>
    <row r="36" ht="15" customHeight="1" s="90">
      <c r="A36" s="103" t="inlineStr">
        <is>
          <t>Phase 3 Clinical</t>
        </is>
      </c>
      <c r="B36" s="119" t="n">
        <v>48</v>
      </c>
      <c r="C36" s="119" t="n">
        <v>42</v>
      </c>
      <c r="D36" s="118">
        <f>(C36-B36)/B36</f>
        <v/>
      </c>
      <c r="E36" s="110" t="n">
        <v>800</v>
      </c>
      <c r="F36" s="110" t="n">
        <v>720</v>
      </c>
      <c r="G36" s="118">
        <f>(F36-E36)/E36</f>
        <v/>
      </c>
      <c r="H36" s="103" t="inlineStr">
        <is>
          <t>Real-world evidence integration</t>
        </is>
      </c>
    </row>
    <row r="38" ht="15.75" customHeight="1" s="90">
      <c r="A38" s="113" t="inlineStr">
        <is>
          <t>Source: MIT Drug Discovery Research Centre 2024; Insilico Medicine pipeline data; Recursion Pharmaceuticals investor presentation 2024; Nature Reviews Drug Discovery, Scannell &amp; Bosley 2024.</t>
        </is>
      </c>
    </row>
  </sheetData>
  <mergeCells count="7">
    <mergeCell ref="A1:J1"/>
    <mergeCell ref="A14:J14"/>
    <mergeCell ref="A3:J3"/>
    <mergeCell ref="A12:J12"/>
    <mergeCell ref="A26:J26"/>
    <mergeCell ref="A38:J38"/>
    <mergeCell ref="A28:J2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3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6" customWidth="1" style="89" min="1" max="1"/>
    <col width="15" customWidth="1" style="89" min="2" max="2"/>
    <col width="14" customWidth="1" style="89" min="3" max="4"/>
    <col width="10" customWidth="1" style="89" min="5" max="5"/>
    <col width="14" customWidth="1" style="89" min="6" max="6"/>
    <col width="12" customWidth="1" style="89" min="7" max="7"/>
    <col width="16" customWidth="1" style="89" min="8" max="8"/>
    <col width="14" customWidth="1" style="89" min="9" max="9"/>
    <col width="16" customWidth="1" style="89" min="10" max="10"/>
    <col width="28" customWidth="1" style="89" min="11" max="11"/>
  </cols>
  <sheetData>
    <row r="1" ht="27.75" customHeight="1" s="90">
      <c r="A1" s="91" t="inlineStr">
        <is>
          <t>BIOTECH NTM EV/SALES  |  OLS REGRESSION &amp; MEAN REVERSION ANALYSIS</t>
        </is>
      </c>
    </row>
    <row r="3" ht="15" customHeight="1" s="90">
      <c r="A3" s="108" t="inlineStr">
        <is>
          <t>HISTORICAL DATA &amp; OLS INPUTS</t>
        </is>
      </c>
      <c r="B3" s="97" t="n"/>
      <c r="C3" s="97" t="n"/>
      <c r="D3" s="97" t="n"/>
      <c r="E3" s="97" t="n"/>
      <c r="F3" s="97" t="n"/>
      <c r="G3" s="97" t="n"/>
      <c r="H3" s="97" t="n"/>
      <c r="I3" s="97" t="n"/>
      <c r="J3" s="97" t="n"/>
      <c r="K3" s="98" t="n"/>
    </row>
    <row r="4" ht="30" customHeight="1" s="90">
      <c r="A4" s="109" t="inlineStr">
        <is>
          <t>Year</t>
        </is>
      </c>
      <c r="B4" s="109" t="inlineStr">
        <is>
          <t>NTM EV/Sales (x)</t>
        </is>
      </c>
      <c r="C4" s="109" t="inlineStr">
        <is>
          <t>YoY Change</t>
        </is>
      </c>
      <c r="D4" s="109" t="inlineStr">
        <is>
          <t>UST 10yr (%)</t>
        </is>
      </c>
      <c r="E4" s="109" t="inlineStr">
        <is>
          <t>VIX Avg</t>
        </is>
      </c>
      <c r="F4" s="109" t="inlineStr">
        <is>
          <t>S&amp;P 500 Return</t>
        </is>
      </c>
      <c r="G4" s="109" t="inlineStr">
        <is>
          <t>XBI Return</t>
        </is>
      </c>
      <c r="H4" s="109" t="inlineStr">
        <is>
          <t>Spread (XBI-S&amp;P)</t>
        </is>
      </c>
      <c r="I4" s="109" t="inlineStr">
        <is>
          <t>Time Index (t)</t>
        </is>
      </c>
      <c r="J4" s="109" t="inlineStr">
        <is>
          <t>Predicted (OLS)</t>
        </is>
      </c>
      <c r="K4" s="109" t="inlineStr">
        <is>
          <t>Residual</t>
        </is>
      </c>
    </row>
    <row r="5" ht="13.5" customHeight="1" s="90">
      <c r="A5" s="114" t="n">
        <v>2014</v>
      </c>
      <c r="B5" s="120" t="n">
        <v>6.8</v>
      </c>
      <c r="C5" s="105" t="inlineStr">
        <is>
          <t>N/A</t>
        </is>
      </c>
      <c r="D5" s="121" t="n">
        <v>0.0254</v>
      </c>
      <c r="E5" s="120" t="n">
        <v>14.2</v>
      </c>
      <c r="F5" s="112" t="n">
        <v>0.134</v>
      </c>
      <c r="G5" s="112" t="n">
        <v>0.034</v>
      </c>
      <c r="H5" s="111">
        <f>G5-F5</f>
        <v/>
      </c>
      <c r="I5" s="119" t="n">
        <v>1</v>
      </c>
      <c r="J5" s="122">
        <f>INTERCEPT($B$5:$B$15,$I$5:$I$15)+SLOPE($B$5:$B$15,$I$5:$I$15)*I5</f>
        <v/>
      </c>
      <c r="K5" s="122">
        <f>B5-J5</f>
        <v/>
      </c>
    </row>
    <row r="6" ht="13.5" customHeight="1" s="90">
      <c r="A6" s="117" t="n">
        <v>2015</v>
      </c>
      <c r="B6" s="120" t="n">
        <v>7.2</v>
      </c>
      <c r="C6" s="111">
        <f>(B6-B5)/B5</f>
        <v/>
      </c>
      <c r="D6" s="121" t="n">
        <v>0.0214</v>
      </c>
      <c r="E6" s="120" t="n">
        <v>16.7</v>
      </c>
      <c r="F6" s="112" t="n">
        <v>0.014</v>
      </c>
      <c r="G6" s="112" t="n">
        <v>0.118</v>
      </c>
      <c r="H6" s="111">
        <f>G6-F6</f>
        <v/>
      </c>
      <c r="I6" s="119" t="n">
        <v>2</v>
      </c>
      <c r="J6" s="122">
        <f>INTERCEPT($B$5:$B$15,$I$5:$I$15)+SLOPE($B$5:$B$15,$I$5:$I$15)*I6</f>
        <v/>
      </c>
      <c r="K6" s="122">
        <f>B6-J6</f>
        <v/>
      </c>
    </row>
    <row r="7" ht="13.5" customHeight="1" s="90">
      <c r="A7" s="114" t="n">
        <v>2016</v>
      </c>
      <c r="B7" s="120" t="n">
        <v>5.4</v>
      </c>
      <c r="C7" s="111">
        <f>(B7-B6)/B6</f>
        <v/>
      </c>
      <c r="D7" s="121" t="n">
        <v>0.0245</v>
      </c>
      <c r="E7" s="120" t="n">
        <v>15.8</v>
      </c>
      <c r="F7" s="112" t="n">
        <v>0.12</v>
      </c>
      <c r="G7" s="112" t="n">
        <v>-0.213</v>
      </c>
      <c r="H7" s="111">
        <f>G7-F7</f>
        <v/>
      </c>
      <c r="I7" s="119" t="n">
        <v>3</v>
      </c>
      <c r="J7" s="122">
        <f>INTERCEPT($B$5:$B$15,$I$5:$I$15)+SLOPE($B$5:$B$15,$I$5:$I$15)*I7</f>
        <v/>
      </c>
      <c r="K7" s="122">
        <f>B7-J7</f>
        <v/>
      </c>
    </row>
    <row r="8" ht="13.5" customHeight="1" s="90">
      <c r="A8" s="117" t="n">
        <v>2017</v>
      </c>
      <c r="B8" s="120" t="n">
        <v>5.9</v>
      </c>
      <c r="C8" s="111">
        <f>(B8-B7)/B7</f>
        <v/>
      </c>
      <c r="D8" s="121" t="n">
        <v>0.0241</v>
      </c>
      <c r="E8" s="120" t="n">
        <v>11.1</v>
      </c>
      <c r="F8" s="112" t="n">
        <v>0.216</v>
      </c>
      <c r="G8" s="112" t="n">
        <v>0.441</v>
      </c>
      <c r="H8" s="111">
        <f>G8-F8</f>
        <v/>
      </c>
      <c r="I8" s="119" t="n">
        <v>4</v>
      </c>
      <c r="J8" s="122">
        <f>INTERCEPT($B$5:$B$15,$I$5:$I$15)+SLOPE($B$5:$B$15,$I$5:$I$15)*I8</f>
        <v/>
      </c>
      <c r="K8" s="122">
        <f>B8-J8</f>
        <v/>
      </c>
    </row>
    <row r="9" ht="13.5" customHeight="1" s="90">
      <c r="A9" s="114" t="n">
        <v>2018</v>
      </c>
      <c r="B9" s="120" t="n">
        <v>5.1</v>
      </c>
      <c r="C9" s="111">
        <f>(B9-B8)/B8</f>
        <v/>
      </c>
      <c r="D9" s="121" t="n">
        <v>0.0291</v>
      </c>
      <c r="E9" s="120" t="n">
        <v>16.6</v>
      </c>
      <c r="F9" s="112" t="n">
        <v>-0.043</v>
      </c>
      <c r="G9" s="112" t="n">
        <v>0.082</v>
      </c>
      <c r="H9" s="111">
        <f>G9-F9</f>
        <v/>
      </c>
      <c r="I9" s="119" t="n">
        <v>5</v>
      </c>
      <c r="J9" s="122">
        <f>INTERCEPT($B$5:$B$15,$I$5:$I$15)+SLOPE($B$5:$B$15,$I$5:$I$15)*I9</f>
        <v/>
      </c>
      <c r="K9" s="122">
        <f>B9-J9</f>
        <v/>
      </c>
    </row>
    <row r="10" ht="13.5" customHeight="1" s="90">
      <c r="A10" s="117" t="n">
        <v>2019</v>
      </c>
      <c r="B10" s="120" t="n">
        <v>5.6</v>
      </c>
      <c r="C10" s="111">
        <f>(B10-B9)/B9</f>
        <v/>
      </c>
      <c r="D10" s="121" t="n">
        <v>0.0214</v>
      </c>
      <c r="E10" s="120" t="n">
        <v>15.4</v>
      </c>
      <c r="F10" s="112" t="n">
        <v>0.313</v>
      </c>
      <c r="G10" s="112" t="n">
        <v>0.279</v>
      </c>
      <c r="H10" s="111">
        <f>G10-F10</f>
        <v/>
      </c>
      <c r="I10" s="119" t="n">
        <v>6</v>
      </c>
      <c r="J10" s="122">
        <f>INTERCEPT($B$5:$B$15,$I$5:$I$15)+SLOPE($B$5:$B$15,$I$5:$I$15)*I10</f>
        <v/>
      </c>
      <c r="K10" s="122">
        <f>B10-J10</f>
        <v/>
      </c>
    </row>
    <row r="11" ht="13.5" customHeight="1" s="90">
      <c r="A11" s="114" t="n">
        <v>2020</v>
      </c>
      <c r="B11" s="120" t="n">
        <v>7.3</v>
      </c>
      <c r="C11" s="111">
        <f>(B11-B10)/B10</f>
        <v/>
      </c>
      <c r="D11" s="121" t="n">
        <v>0.009299999999999999</v>
      </c>
      <c r="E11" s="120" t="n">
        <v>24.5</v>
      </c>
      <c r="F11" s="112" t="n">
        <v>0.183</v>
      </c>
      <c r="G11" s="112" t="n">
        <v>0.485</v>
      </c>
      <c r="H11" s="111">
        <f>G11-F11</f>
        <v/>
      </c>
      <c r="I11" s="119" t="n">
        <v>7</v>
      </c>
      <c r="J11" s="122">
        <f>INTERCEPT($B$5:$B$15,$I$5:$I$15)+SLOPE($B$5:$B$15,$I$5:$I$15)*I11</f>
        <v/>
      </c>
      <c r="K11" s="122">
        <f>B11-J11</f>
        <v/>
      </c>
    </row>
    <row r="12" ht="13.5" customHeight="1" s="90">
      <c r="A12" s="117" t="n">
        <v>2021</v>
      </c>
      <c r="B12" s="120" t="n">
        <v>9.4</v>
      </c>
      <c r="C12" s="111">
        <f>(B12-B11)/B11</f>
        <v/>
      </c>
      <c r="D12" s="121" t="n">
        <v>0.0152</v>
      </c>
      <c r="E12" s="120" t="n">
        <v>19.7</v>
      </c>
      <c r="F12" s="112" t="n">
        <v>0.267</v>
      </c>
      <c r="G12" s="112" t="n">
        <v>-0.216</v>
      </c>
      <c r="H12" s="111">
        <f>G12-F12</f>
        <v/>
      </c>
      <c r="I12" s="119" t="n">
        <v>8</v>
      </c>
      <c r="J12" s="122">
        <f>INTERCEPT($B$5:$B$15,$I$5:$I$15)+SLOPE($B$5:$B$15,$I$5:$I$15)*I12</f>
        <v/>
      </c>
      <c r="K12" s="122">
        <f>B12-J12</f>
        <v/>
      </c>
    </row>
    <row r="13" ht="13.5" customHeight="1" s="90">
      <c r="A13" s="114" t="n">
        <v>2022</v>
      </c>
      <c r="B13" s="120" t="n">
        <v>4.2</v>
      </c>
      <c r="C13" s="111">
        <f>(B13-B12)/B12</f>
        <v/>
      </c>
      <c r="D13" s="121" t="n">
        <v>0.0388</v>
      </c>
      <c r="E13" s="120" t="n">
        <v>26.5</v>
      </c>
      <c r="F13" s="112" t="n">
        <v>-0.181</v>
      </c>
      <c r="G13" s="112" t="n">
        <v>-0.454</v>
      </c>
      <c r="H13" s="111">
        <f>G13-F13</f>
        <v/>
      </c>
      <c r="I13" s="119" t="n">
        <v>9</v>
      </c>
      <c r="J13" s="122">
        <f>INTERCEPT($B$5:$B$15,$I$5:$I$15)+SLOPE($B$5:$B$15,$I$5:$I$15)*I13</f>
        <v/>
      </c>
      <c r="K13" s="122">
        <f>B13-J13</f>
        <v/>
      </c>
    </row>
    <row r="14" ht="13.5" customHeight="1" s="90">
      <c r="A14" s="117" t="n">
        <v>2023</v>
      </c>
      <c r="B14" s="120" t="n">
        <v>4.8</v>
      </c>
      <c r="C14" s="111">
        <f>(B14-B13)/B13</f>
        <v/>
      </c>
      <c r="D14" s="121" t="n">
        <v>0.0397</v>
      </c>
      <c r="E14" s="120" t="n">
        <v>16.8</v>
      </c>
      <c r="F14" s="112" t="n">
        <v>0.244</v>
      </c>
      <c r="G14" s="112" t="n">
        <v>0.093</v>
      </c>
      <c r="H14" s="111">
        <f>G14-F14</f>
        <v/>
      </c>
      <c r="I14" s="119" t="n">
        <v>10</v>
      </c>
      <c r="J14" s="122">
        <f>INTERCEPT($B$5:$B$15,$I$5:$I$15)+SLOPE($B$5:$B$15,$I$5:$I$15)*I14</f>
        <v/>
      </c>
      <c r="K14" s="122">
        <f>B14-J14</f>
        <v/>
      </c>
    </row>
    <row r="15" ht="13.5" customHeight="1" s="90">
      <c r="A15" s="114" t="n">
        <v>2024</v>
      </c>
      <c r="B15" s="120" t="n">
        <v>5.2</v>
      </c>
      <c r="C15" s="111">
        <f>(B15-B14)/B14</f>
        <v/>
      </c>
      <c r="D15" s="121" t="n">
        <v>0.0425</v>
      </c>
      <c r="E15" s="120" t="n">
        <v>15.6</v>
      </c>
      <c r="F15" s="112" t="n">
        <v>0.232</v>
      </c>
      <c r="G15" s="112" t="n">
        <v>0.021</v>
      </c>
      <c r="H15" s="111">
        <f>G15-F15</f>
        <v/>
      </c>
      <c r="I15" s="119" t="n">
        <v>11</v>
      </c>
      <c r="J15" s="122">
        <f>INTERCEPT($B$5:$B$15,$I$5:$I$15)+SLOPE($B$5:$B$15,$I$5:$I$15)*I15</f>
        <v/>
      </c>
      <c r="K15" s="122">
        <f>B15-J15</f>
        <v/>
      </c>
    </row>
    <row r="16" ht="13.5" customHeight="1" s="90">
      <c r="A16" s="117" t="n">
        <v>2025</v>
      </c>
      <c r="B16" s="120" t="n">
        <v>5.5</v>
      </c>
      <c r="C16" s="111">
        <f>(B16-B15)/B15</f>
        <v/>
      </c>
      <c r="D16" s="121" t="n">
        <v>0.0428</v>
      </c>
      <c r="E16" s="120" t="n">
        <v>17.2</v>
      </c>
      <c r="F16" s="105" t="inlineStr">
        <is>
          <t>YTD</t>
        </is>
      </c>
      <c r="G16" s="105" t="inlineStr">
        <is>
          <t>YTD</t>
        </is>
      </c>
      <c r="H16" s="105" t="inlineStr">
        <is>
          <t>N/A</t>
        </is>
      </c>
      <c r="I16" s="119" t="n">
        <v>12</v>
      </c>
      <c r="J16" s="122">
        <f>INTERCEPT($B$5:$B$15,$I$5:$I$15)+SLOPE($B$5:$B$15,$I$5:$I$15)*I16</f>
        <v/>
      </c>
      <c r="K16" s="122">
        <f>B16-J16</f>
        <v/>
      </c>
    </row>
    <row r="18" ht="15" customHeight="1" s="90">
      <c r="A18" s="108" t="inlineStr">
        <is>
          <t>OLS REGRESSION STATISTICS (NTM EV/Sales ~ Time)</t>
        </is>
      </c>
      <c r="B18" s="97" t="n"/>
      <c r="C18" s="97" t="n"/>
      <c r="D18" s="97" t="n"/>
      <c r="E18" s="97" t="n"/>
      <c r="F18" s="97" t="n"/>
      <c r="G18" s="97" t="n"/>
      <c r="H18" s="97" t="n"/>
      <c r="I18" s="97" t="n"/>
      <c r="J18" s="97" t="n"/>
      <c r="K18" s="98" t="n"/>
    </row>
    <row r="19" ht="15" customHeight="1" s="90">
      <c r="A19" s="109" t="inlineStr">
        <is>
          <t>Statistic</t>
        </is>
      </c>
      <c r="B19" s="109" t="inlineStr">
        <is>
          <t>Value</t>
        </is>
      </c>
      <c r="C19" s="109" t="inlineStr">
        <is>
          <t>Interpretation</t>
        </is>
      </c>
    </row>
    <row r="20" ht="13.5" customHeight="1" s="90">
      <c r="A20" s="103" t="inlineStr">
        <is>
          <t>Observations (n)</t>
        </is>
      </c>
      <c r="B20" s="123">
        <f>COUNT(B5:B15)</f>
        <v/>
      </c>
      <c r="C20" s="103" t="inlineStr">
        <is>
          <t>Excludes current partial year 2025</t>
        </is>
      </c>
    </row>
    <row r="21" ht="13.5" customHeight="1" s="90">
      <c r="A21" s="100" t="inlineStr">
        <is>
          <t>Slope (beta)</t>
        </is>
      </c>
      <c r="B21" s="124">
        <f>SLOPE(B5:B15,I5:I15)</f>
        <v/>
      </c>
      <c r="C21" s="100" t="inlineStr">
        <is>
          <t>EV/Sales trend per year (time)</t>
        </is>
      </c>
    </row>
    <row r="22" ht="13.5" customHeight="1" s="90">
      <c r="A22" s="103" t="inlineStr">
        <is>
          <t>Intercept (alpha)</t>
        </is>
      </c>
      <c r="B22" s="125">
        <f>INTERCEPT(B5:B15,I5:I15)</f>
        <v/>
      </c>
      <c r="C22" s="103" t="inlineStr">
        <is>
          <t>Estimated EV/Sales at t=0</t>
        </is>
      </c>
    </row>
    <row r="23" ht="13.5" customHeight="1" s="90">
      <c r="A23" s="100" t="inlineStr">
        <is>
          <t>R-Squared</t>
        </is>
      </c>
      <c r="B23" s="126">
        <f>RSQ(B5:B15,I5:I15)</f>
        <v/>
      </c>
      <c r="C23" s="100" t="inlineStr">
        <is>
          <t>Explanatory power of time trend alone</t>
        </is>
      </c>
    </row>
    <row r="24" ht="13.5" customHeight="1" s="90">
      <c r="A24" s="103" t="inlineStr">
        <is>
          <t>Correlation (r)</t>
        </is>
      </c>
      <c r="B24" s="125">
        <f>CORREL(B5:B15,I5:I15)</f>
        <v/>
      </c>
      <c r="C24" s="103" t="inlineStr">
        <is>
          <t>Pearson correlation: EV/Sales vs time</t>
        </is>
      </c>
    </row>
    <row r="25" ht="13.5" customHeight="1" s="90">
      <c r="A25" s="100" t="inlineStr">
        <is>
          <t>Std Error of Estimate</t>
        </is>
      </c>
      <c r="B25" s="127">
        <f>STEYX(B5:B15,I5:I15)</f>
        <v/>
      </c>
      <c r="C25" s="100" t="inlineStr">
        <is>
          <t>Residual std dev around trendline</t>
        </is>
      </c>
    </row>
    <row r="26" ht="13.5" customHeight="1" s="90">
      <c r="A26" s="103" t="inlineStr">
        <is>
          <t>10yr Mean EV/Sales</t>
        </is>
      </c>
      <c r="B26" s="128">
        <f>AVERAGE(B5:B15)</f>
        <v/>
      </c>
      <c r="C26" s="103" t="inlineStr">
        <is>
          <t>Simple arithmetic mean 2014-2024</t>
        </is>
      </c>
    </row>
    <row r="27" ht="13.5" customHeight="1" s="90">
      <c r="A27" s="100" t="inlineStr">
        <is>
          <t>Current EV/Sales</t>
        </is>
      </c>
      <c r="B27" s="129">
        <f>B16</f>
        <v/>
      </c>
      <c r="C27" s="100" t="inlineStr">
        <is>
          <t>Green = cross-sheet read from data row</t>
        </is>
      </c>
    </row>
    <row r="28" ht="13.5" customHeight="1" s="90">
      <c r="A28" s="103" t="inlineStr">
        <is>
          <t>Discount to Mean (%)</t>
        </is>
      </c>
      <c r="B28" s="130">
        <f>B26/B25-1</f>
        <v/>
      </c>
      <c r="C28" s="103" t="inlineStr">
        <is>
          <t>Current vs 10yr mean</t>
        </is>
      </c>
    </row>
    <row r="29" ht="13.5" customHeight="1" s="90">
      <c r="A29" s="100" t="inlineStr">
        <is>
          <t>z-Score (vs mean)</t>
        </is>
      </c>
      <c r="B29" s="124">
        <f>(B26-B25)/B28</f>
        <v/>
      </c>
      <c r="C29" s="100" t="inlineStr">
        <is>
          <t>Std devs below mean (negative = cheap)</t>
        </is>
      </c>
    </row>
    <row r="30" ht="13.5" customHeight="1" s="90">
      <c r="A30" s="103" t="inlineStr">
        <is>
          <t>Target (mean reversion)</t>
        </is>
      </c>
      <c r="B30" s="128">
        <f>B25</f>
        <v/>
      </c>
      <c r="C30" s="103" t="inlineStr">
        <is>
          <t>Assumes reversion to 10yr mean</t>
        </is>
      </c>
    </row>
    <row r="31" ht="13.5" customHeight="1" s="90">
      <c r="A31" s="100" t="inlineStr">
        <is>
          <t>Implied Upside (%)</t>
        </is>
      </c>
      <c r="B31" s="130">
        <f>B25/B26-1</f>
        <v/>
      </c>
      <c r="C31" s="100" t="inlineStr">
        <is>
          <t>EV/Sales expansion if reverts to mean</t>
        </is>
      </c>
    </row>
    <row r="33" ht="18" customHeight="1" s="90">
      <c r="A33" s="113" t="inlineStr">
        <is>
          <t>Source: Bloomberg Terminal (NTM EV/Sales: XBI/IBB constituent-weighted forward revenue consensus). UST 10yr: Federal Reserve H.15. VIX: CBOE. Returns: Bloomberg total return indices. OLS = ordinary least squares.</t>
        </is>
      </c>
    </row>
  </sheetData>
  <mergeCells count="4">
    <mergeCell ref="A33:K33"/>
    <mergeCell ref="A1:K1"/>
    <mergeCell ref="A18:K18"/>
    <mergeCell ref="A3:K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0" customWidth="1" style="89" min="1" max="1"/>
    <col width="12" customWidth="1" style="89" min="2" max="3"/>
    <col width="16" customWidth="1" style="89" min="4" max="4"/>
    <col width="12" customWidth="1" style="89" min="5" max="5"/>
    <col width="14" customWidth="1" style="89" min="6" max="6"/>
    <col width="10" customWidth="1" style="89" min="7" max="7"/>
    <col width="16" customWidth="1" style="89" min="8" max="9"/>
    <col width="14" customWidth="1" style="89" min="10" max="10"/>
  </cols>
  <sheetData>
    <row r="1" ht="27.75" customHeight="1" s="90">
      <c r="A1" s="91" t="inlineStr">
        <is>
          <t>FDA NOVEL DRUG APPROVALS  |  NME + BLA ANNUAL DATA 2014-2024</t>
        </is>
      </c>
    </row>
    <row r="3" ht="15" customHeight="1" s="90">
      <c r="A3" s="108" t="inlineStr">
        <is>
          <t>ANNUAL FDA APPROVAL DATA</t>
        </is>
      </c>
      <c r="B3" s="97" t="n"/>
      <c r="C3" s="97" t="n"/>
      <c r="D3" s="97" t="n"/>
      <c r="E3" s="97" t="n"/>
      <c r="F3" s="97" t="n"/>
      <c r="G3" s="97" t="n"/>
      <c r="H3" s="97" t="n"/>
      <c r="I3" s="97" t="n"/>
      <c r="J3" s="98" t="n"/>
    </row>
    <row r="4" ht="13.5" customHeight="1" s="90">
      <c r="A4" s="109" t="inlineStr">
        <is>
          <t>Year</t>
        </is>
      </c>
      <c r="B4" s="109" t="inlineStr">
        <is>
          <t>NME Count</t>
        </is>
      </c>
      <c r="C4" s="109" t="inlineStr">
        <is>
          <t>BLA Count</t>
        </is>
      </c>
      <c r="D4" s="109" t="inlineStr">
        <is>
          <t>Total Approvals</t>
        </is>
      </c>
      <c r="E4" s="109" t="inlineStr">
        <is>
          <t>Oncology</t>
        </is>
      </c>
      <c r="F4" s="109" t="inlineStr">
        <is>
          <t>Rare Disease</t>
        </is>
      </c>
      <c r="G4" s="109" t="inlineStr">
        <is>
          <t>CNS</t>
        </is>
      </c>
      <c r="H4" s="109" t="inlineStr">
        <is>
          <t>Metabolic/CVD</t>
        </is>
      </c>
      <c r="I4" s="109" t="inlineStr">
        <is>
          <t>Approval Rate (%)</t>
        </is>
      </c>
      <c r="J4" s="109" t="inlineStr">
        <is>
          <t>vs Prior Year</t>
        </is>
      </c>
    </row>
    <row r="5" ht="13.5" customHeight="1" s="90">
      <c r="A5" s="114" t="n">
        <v>2014</v>
      </c>
      <c r="B5" s="119" t="n">
        <v>30</v>
      </c>
      <c r="C5" s="119" t="n">
        <v>11</v>
      </c>
      <c r="D5" s="131">
        <f>B5+C5</f>
        <v/>
      </c>
      <c r="E5" s="119" t="n">
        <v>14</v>
      </c>
      <c r="F5" s="119" t="n">
        <v>12</v>
      </c>
      <c r="G5" s="119" t="n">
        <v>7</v>
      </c>
      <c r="H5" s="119" t="n">
        <v>5</v>
      </c>
      <c r="I5" s="112" t="n">
        <v>0.852</v>
      </c>
      <c r="J5" s="105" t="inlineStr">
        <is>
          <t>N/A</t>
        </is>
      </c>
    </row>
    <row r="6" ht="13.5" customHeight="1" s="90">
      <c r="A6" s="117" t="n">
        <v>2015</v>
      </c>
      <c r="B6" s="119" t="n">
        <v>33</v>
      </c>
      <c r="C6" s="119" t="n">
        <v>12</v>
      </c>
      <c r="D6" s="131">
        <f>B6+C6</f>
        <v/>
      </c>
      <c r="E6" s="119" t="n">
        <v>17</v>
      </c>
      <c r="F6" s="119" t="n">
        <v>15</v>
      </c>
      <c r="G6" s="119" t="n">
        <v>8</v>
      </c>
      <c r="H6" s="119" t="n">
        <v>3</v>
      </c>
      <c r="I6" s="112" t="n">
        <v>0.878</v>
      </c>
      <c r="J6" s="132">
        <f>D6-D5</f>
        <v/>
      </c>
    </row>
    <row r="7" ht="13.5" customHeight="1" s="90">
      <c r="A7" s="114" t="n">
        <v>2016</v>
      </c>
      <c r="B7" s="119" t="n">
        <v>15</v>
      </c>
      <c r="C7" s="119" t="n">
        <v>7</v>
      </c>
      <c r="D7" s="131">
        <f>B7+C7</f>
        <v/>
      </c>
      <c r="E7" s="119" t="n">
        <v>8</v>
      </c>
      <c r="F7" s="119" t="n">
        <v>9</v>
      </c>
      <c r="G7" s="119" t="n">
        <v>3</v>
      </c>
      <c r="H7" s="119" t="n">
        <v>2</v>
      </c>
      <c r="I7" s="112" t="n">
        <v>0.731</v>
      </c>
      <c r="J7" s="132">
        <f>D7-D6</f>
        <v/>
      </c>
    </row>
    <row r="8" ht="13.5" customHeight="1" s="90">
      <c r="A8" s="117" t="n">
        <v>2017</v>
      </c>
      <c r="B8" s="119" t="n">
        <v>34</v>
      </c>
      <c r="C8" s="119" t="n">
        <v>12</v>
      </c>
      <c r="D8" s="131">
        <f>B8+C8</f>
        <v/>
      </c>
      <c r="E8" s="119" t="n">
        <v>18</v>
      </c>
      <c r="F8" s="119" t="n">
        <v>13</v>
      </c>
      <c r="G8" s="119" t="n">
        <v>7</v>
      </c>
      <c r="H8" s="119" t="n">
        <v>5</v>
      </c>
      <c r="I8" s="112" t="n">
        <v>0.874</v>
      </c>
      <c r="J8" s="132">
        <f>D8-D7</f>
        <v/>
      </c>
    </row>
    <row r="9" ht="13.5" customHeight="1" s="90">
      <c r="A9" s="114" t="n">
        <v>2018</v>
      </c>
      <c r="B9" s="119" t="n">
        <v>42</v>
      </c>
      <c r="C9" s="119" t="n">
        <v>17</v>
      </c>
      <c r="D9" s="131">
        <f>B9+C9</f>
        <v/>
      </c>
      <c r="E9" s="119" t="n">
        <v>22</v>
      </c>
      <c r="F9" s="119" t="n">
        <v>18</v>
      </c>
      <c r="G9" s="119" t="n">
        <v>10</v>
      </c>
      <c r="H9" s="119" t="n">
        <v>6</v>
      </c>
      <c r="I9" s="112" t="n">
        <v>0.912</v>
      </c>
      <c r="J9" s="132">
        <f>D9-D8</f>
        <v/>
      </c>
    </row>
    <row r="10" ht="13.5" customHeight="1" s="90">
      <c r="A10" s="117" t="n">
        <v>2019</v>
      </c>
      <c r="B10" s="119" t="n">
        <v>35</v>
      </c>
      <c r="C10" s="119" t="n">
        <v>13</v>
      </c>
      <c r="D10" s="131">
        <f>B10+C10</f>
        <v/>
      </c>
      <c r="E10" s="119" t="n">
        <v>17</v>
      </c>
      <c r="F10" s="119" t="n">
        <v>15</v>
      </c>
      <c r="G10" s="119" t="n">
        <v>8</v>
      </c>
      <c r="H10" s="119" t="n">
        <v>5</v>
      </c>
      <c r="I10" s="112" t="n">
        <v>0.889</v>
      </c>
      <c r="J10" s="132">
        <f>D10-D9</f>
        <v/>
      </c>
    </row>
    <row r="11" ht="13.5" customHeight="1" s="90">
      <c r="A11" s="114" t="n">
        <v>2020</v>
      </c>
      <c r="B11" s="119" t="n">
        <v>40</v>
      </c>
      <c r="C11" s="119" t="n">
        <v>13</v>
      </c>
      <c r="D11" s="131">
        <f>B11+C11</f>
        <v/>
      </c>
      <c r="E11" s="119" t="n">
        <v>20</v>
      </c>
      <c r="F11" s="119" t="n">
        <v>16</v>
      </c>
      <c r="G11" s="119" t="n">
        <v>9</v>
      </c>
      <c r="H11" s="119" t="n">
        <v>6</v>
      </c>
      <c r="I11" s="112" t="n">
        <v>0.901</v>
      </c>
      <c r="J11" s="132">
        <f>D11-D10</f>
        <v/>
      </c>
    </row>
    <row r="12" ht="13.5" customHeight="1" s="90">
      <c r="A12" s="117" t="n">
        <v>2021</v>
      </c>
      <c r="B12" s="119" t="n">
        <v>37</v>
      </c>
      <c r="C12" s="119" t="n">
        <v>13</v>
      </c>
      <c r="D12" s="131">
        <f>B12+C12</f>
        <v/>
      </c>
      <c r="E12" s="119" t="n">
        <v>19</v>
      </c>
      <c r="F12" s="119" t="n">
        <v>14</v>
      </c>
      <c r="G12" s="119" t="n">
        <v>8</v>
      </c>
      <c r="H12" s="119" t="n">
        <v>6</v>
      </c>
      <c r="I12" s="112" t="n">
        <v>0.884</v>
      </c>
      <c r="J12" s="132">
        <f>D12-D11</f>
        <v/>
      </c>
    </row>
    <row r="13" ht="13.5" customHeight="1" s="90">
      <c r="A13" s="114" t="n">
        <v>2022</v>
      </c>
      <c r="B13" s="119" t="n">
        <v>26</v>
      </c>
      <c r="C13" s="119" t="n">
        <v>11</v>
      </c>
      <c r="D13" s="131">
        <f>B13+C13</f>
        <v/>
      </c>
      <c r="E13" s="119" t="n">
        <v>14</v>
      </c>
      <c r="F13" s="119" t="n">
        <v>11</v>
      </c>
      <c r="G13" s="119" t="n">
        <v>5</v>
      </c>
      <c r="H13" s="119" t="n">
        <v>4</v>
      </c>
      <c r="I13" s="112" t="n">
        <v>0.821</v>
      </c>
      <c r="J13" s="132">
        <f>D13-D12</f>
        <v/>
      </c>
    </row>
    <row r="14" ht="13.5" customHeight="1" s="90">
      <c r="A14" s="117" t="n">
        <v>2023</v>
      </c>
      <c r="B14" s="119" t="n">
        <v>43</v>
      </c>
      <c r="C14" s="119" t="n">
        <v>12</v>
      </c>
      <c r="D14" s="131">
        <f>B14+C14</f>
        <v/>
      </c>
      <c r="E14" s="119" t="n">
        <v>21</v>
      </c>
      <c r="F14" s="119" t="n">
        <v>17</v>
      </c>
      <c r="G14" s="119" t="n">
        <v>9</v>
      </c>
      <c r="H14" s="119" t="n">
        <v>5</v>
      </c>
      <c r="I14" s="112" t="n">
        <v>0.917</v>
      </c>
      <c r="J14" s="132">
        <f>D14-D13</f>
        <v/>
      </c>
    </row>
    <row r="15" ht="13.5" customHeight="1" s="90">
      <c r="A15" s="114" t="n">
        <v>2024</v>
      </c>
      <c r="B15" s="119" t="n">
        <v>38</v>
      </c>
      <c r="C15" s="119" t="n">
        <v>12</v>
      </c>
      <c r="D15" s="131">
        <f>B15+C15</f>
        <v/>
      </c>
      <c r="E15" s="119" t="n">
        <v>20</v>
      </c>
      <c r="F15" s="119" t="n">
        <v>15</v>
      </c>
      <c r="G15" s="119" t="n">
        <v>8</v>
      </c>
      <c r="H15" s="119" t="n">
        <v>5</v>
      </c>
      <c r="I15" s="112" t="n">
        <v>0.893</v>
      </c>
      <c r="J15" s="132">
        <f>D15-D14</f>
        <v/>
      </c>
    </row>
    <row r="17" ht="15.75" customHeight="1" s="90">
      <c r="A17" s="108" t="inlineStr">
        <is>
          <t>SUMMARY STATISTICS</t>
        </is>
      </c>
      <c r="B17" s="97" t="n"/>
      <c r="C17" s="97" t="n"/>
      <c r="D17" s="97" t="n"/>
      <c r="E17" s="97" t="n"/>
      <c r="F17" s="97" t="n"/>
      <c r="G17" s="97" t="n"/>
      <c r="H17" s="97" t="n"/>
      <c r="I17" s="97" t="n"/>
      <c r="J17" s="98" t="n"/>
    </row>
    <row r="18" ht="13.5" customHeight="1" s="90">
      <c r="A18" s="103" t="inlineStr">
        <is>
          <t>Period</t>
        </is>
      </c>
      <c r="B18" s="133" t="inlineStr">
        <is>
          <t>2014-2024</t>
        </is>
      </c>
    </row>
    <row r="19" ht="13.5" customHeight="1" s="90">
      <c r="A19" s="100" t="inlineStr">
        <is>
          <t>Total Approvals</t>
        </is>
      </c>
      <c r="B19" s="134">
        <f>SUM(D5:D15)</f>
        <v/>
      </c>
    </row>
    <row r="20" ht="13.5" customHeight="1" s="90">
      <c r="A20" s="103" t="inlineStr">
        <is>
          <t>Annual Average (mean)</t>
        </is>
      </c>
      <c r="B20" s="135">
        <f>AVERAGE(D5:D15)</f>
        <v/>
      </c>
    </row>
    <row r="21" ht="13.5" customHeight="1" s="90">
      <c r="A21" s="100" t="inlineStr">
        <is>
          <t>Median Annual Approvals</t>
        </is>
      </c>
      <c r="B21" s="136">
        <f>MEDIAN(D5:D15)</f>
        <v/>
      </c>
    </row>
    <row r="22" ht="13.5" customHeight="1" s="90">
      <c r="A22" s="103" t="inlineStr">
        <is>
          <t>Peak Year</t>
        </is>
      </c>
      <c r="B22" s="123">
        <f>INDEX(A5:A15,MATCH(MAX(D5:D15),D5:D15,0))</f>
        <v/>
      </c>
    </row>
    <row r="23" ht="13.5" customHeight="1" s="90">
      <c r="A23" s="100" t="inlineStr">
        <is>
          <t>Peak Approvals</t>
        </is>
      </c>
      <c r="B23" s="137">
        <f>MAX(D5:D15)</f>
        <v/>
      </c>
    </row>
    <row r="24" ht="13.5" customHeight="1" s="90">
      <c r="A24" s="103" t="inlineStr">
        <is>
          <t>Trough Year</t>
        </is>
      </c>
      <c r="B24" s="123">
        <f>INDEX(A5:A15,MATCH(MIN(D5:D15),D5:D15,0))</f>
        <v/>
      </c>
    </row>
    <row r="25" ht="13.5" customHeight="1" s="90">
      <c r="A25" s="100" t="inlineStr">
        <is>
          <t>Trough Approvals</t>
        </is>
      </c>
      <c r="B25" s="134">
        <f>MIN(D5:D15)</f>
        <v/>
      </c>
    </row>
    <row r="26" ht="13.5" customHeight="1" s="90">
      <c r="A26" s="103" t="inlineStr">
        <is>
          <t>2024 vs Mean</t>
        </is>
      </c>
      <c r="B26" s="138">
        <f>D15-AVERAGE(D5:D15)</f>
        <v/>
      </c>
    </row>
    <row r="27" ht="13.5" customHeight="1" s="90">
      <c r="A27" s="100" t="inlineStr">
        <is>
          <t>Oncology Share (avg)</t>
        </is>
      </c>
      <c r="B27" s="126">
        <f>AVERAGE(E5:E15)/AVERAGE(D5:D15)</f>
        <v/>
      </c>
    </row>
    <row r="28" ht="13.5" customHeight="1" s="90">
      <c r="A28" s="103" t="inlineStr">
        <is>
          <t>Rare Disease Share (avg)</t>
        </is>
      </c>
      <c r="B28" s="139">
        <f>AVERAGE(F5:F15)/AVERAGE(D5:D15)</f>
        <v/>
      </c>
    </row>
    <row r="29" ht="13.5" customHeight="1" s="90">
      <c r="A29" s="100" t="inlineStr">
        <is>
          <t>Trend Slope (OLS)</t>
        </is>
      </c>
      <c r="B29" s="124">
        <f>SLOPE(D5:D15,A5:A15)</f>
        <v/>
      </c>
    </row>
    <row r="31" ht="15.75" customHeight="1" s="90">
      <c r="A31" s="113" t="inlineStr">
        <is>
          <t>Source: FDA Center for Drug Evaluation and Research (CDER) Novel Drug Approvals database; FDA CBER BLA approvals database. Annual approval rate = % of Priority/Standard Review applications approved in year.</t>
        </is>
      </c>
    </row>
  </sheetData>
  <mergeCells count="4">
    <mergeCell ref="A3:J3"/>
    <mergeCell ref="A1:J1"/>
    <mergeCell ref="A31:J31"/>
    <mergeCell ref="A17:J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3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0" customWidth="1" style="89" min="1" max="1"/>
    <col width="18" customWidth="1" style="89" min="2" max="6"/>
    <col width="28" customWidth="1" style="89" min="7" max="7"/>
    <col width="16" customWidth="1" style="89" min="8" max="8"/>
    <col width="12" customWidth="1" style="89" min="9" max="10"/>
  </cols>
  <sheetData>
    <row r="1" ht="27.75" customHeight="1" s="90">
      <c r="A1" s="91" t="inlineStr">
        <is>
          <t>PHARMA PATENT CLIFF &amp; BIOTECH M&amp;A  |  STRUCTURAL DEMAND DRIVER ANALYSIS</t>
        </is>
      </c>
    </row>
    <row r="3" ht="15" customHeight="1" s="90">
      <c r="A3" s="108" t="inlineStr">
        <is>
          <t>SECTION 1: BIG PHARMA PATENT CLIFF -- REVENUE AT RISK ($bn)</t>
        </is>
      </c>
      <c r="B3" s="97" t="n"/>
      <c r="C3" s="97" t="n"/>
      <c r="D3" s="97" t="n"/>
      <c r="E3" s="97" t="n"/>
      <c r="F3" s="97" t="n"/>
      <c r="G3" s="97" t="n"/>
      <c r="H3" s="97" t="n"/>
      <c r="I3" s="97" t="n"/>
      <c r="J3" s="98" t="n"/>
    </row>
    <row r="4" ht="13.5" customHeight="1" s="90">
      <c r="A4" s="109" t="inlineStr">
        <is>
          <t>Year</t>
        </is>
      </c>
      <c r="B4" s="109" t="inlineStr">
        <is>
          <t>Total At Risk ($bn)</t>
        </is>
      </c>
      <c r="C4" s="109" t="inlineStr">
        <is>
          <t>Oncology ($bn)</t>
        </is>
      </c>
      <c r="D4" s="109" t="inlineStr">
        <is>
          <t>Immunology ($bn)</t>
        </is>
      </c>
      <c r="E4" s="109" t="inlineStr">
        <is>
          <t>Neurology ($bn)</t>
        </is>
      </c>
      <c r="F4" s="109" t="inlineStr">
        <is>
          <t>CVD ($bn)</t>
        </is>
      </c>
      <c r="G4" s="109" t="inlineStr">
        <is>
          <t>Other ($bn)</t>
        </is>
      </c>
      <c r="H4" s="109" t="inlineStr">
        <is>
          <t>Verify Sum</t>
        </is>
      </c>
      <c r="I4" s="109" t="inlineStr">
        <is>
          <t>Forecast Flag</t>
        </is>
      </c>
    </row>
    <row r="5" ht="13.5" customHeight="1" s="90">
      <c r="A5" s="114" t="n">
        <v>2021</v>
      </c>
      <c r="B5" s="110" t="n">
        <v>28</v>
      </c>
      <c r="C5" s="110" t="n">
        <v>8</v>
      </c>
      <c r="D5" s="110" t="n">
        <v>10</v>
      </c>
      <c r="E5" s="110" t="n">
        <v>4</v>
      </c>
      <c r="F5" s="110" t="n">
        <v>3</v>
      </c>
      <c r="G5" s="110" t="n">
        <v>3</v>
      </c>
      <c r="H5" s="140">
        <f>SUM(C5:G5)</f>
        <v/>
      </c>
      <c r="I5" s="141" t="inlineStr">
        <is>
          <t>Actual</t>
        </is>
      </c>
    </row>
    <row r="6" ht="13.5" customHeight="1" s="90">
      <c r="A6" s="117" t="n">
        <v>2022</v>
      </c>
      <c r="B6" s="110" t="n">
        <v>35</v>
      </c>
      <c r="C6" s="142" t="n">
        <v>10</v>
      </c>
      <c r="D6" s="142" t="n">
        <v>13</v>
      </c>
      <c r="E6" s="142" t="n">
        <v>5</v>
      </c>
      <c r="F6" s="142" t="n">
        <v>4</v>
      </c>
      <c r="G6" s="142" t="n">
        <v>3</v>
      </c>
      <c r="H6" s="140">
        <f>SUM(C6:G6)</f>
        <v/>
      </c>
      <c r="I6" s="141" t="inlineStr">
        <is>
          <t>Actual</t>
        </is>
      </c>
    </row>
    <row r="7" ht="13.5" customHeight="1" s="90">
      <c r="A7" s="114" t="n">
        <v>2023</v>
      </c>
      <c r="B7" s="110" t="n">
        <v>42</v>
      </c>
      <c r="C7" s="110" t="n">
        <v>13</v>
      </c>
      <c r="D7" s="110" t="n">
        <v>15</v>
      </c>
      <c r="E7" s="110" t="n">
        <v>6</v>
      </c>
      <c r="F7" s="110" t="n">
        <v>4</v>
      </c>
      <c r="G7" s="110" t="n">
        <v>4</v>
      </c>
      <c r="H7" s="140">
        <f>SUM(C7:G7)</f>
        <v/>
      </c>
      <c r="I7" s="141" t="inlineStr">
        <is>
          <t>Actual</t>
        </is>
      </c>
    </row>
    <row r="8" ht="13.5" customHeight="1" s="90">
      <c r="A8" s="117" t="n">
        <v>2024</v>
      </c>
      <c r="B8" s="110" t="n">
        <v>55</v>
      </c>
      <c r="C8" s="142" t="n">
        <v>17</v>
      </c>
      <c r="D8" s="142" t="n">
        <v>19</v>
      </c>
      <c r="E8" s="142" t="n">
        <v>8</v>
      </c>
      <c r="F8" s="142" t="n">
        <v>5</v>
      </c>
      <c r="G8" s="142" t="n">
        <v>6</v>
      </c>
      <c r="H8" s="140">
        <f>SUM(C8:G8)</f>
        <v/>
      </c>
      <c r="I8" s="141" t="inlineStr">
        <is>
          <t>Actual</t>
        </is>
      </c>
    </row>
    <row r="9" ht="13.5" customHeight="1" s="90">
      <c r="A9" s="143" t="n">
        <v>2025</v>
      </c>
      <c r="B9" s="110" t="n">
        <v>72</v>
      </c>
      <c r="C9" s="144" t="n">
        <v>22</v>
      </c>
      <c r="D9" s="144" t="n">
        <v>25</v>
      </c>
      <c r="E9" s="144" t="n">
        <v>10</v>
      </c>
      <c r="F9" s="144" t="n">
        <v>7</v>
      </c>
      <c r="G9" s="144" t="n">
        <v>8</v>
      </c>
      <c r="H9" s="140">
        <f>SUM(C9:G9)</f>
        <v/>
      </c>
      <c r="I9" s="145" t="inlineStr">
        <is>
          <t>Forecast</t>
        </is>
      </c>
    </row>
    <row r="10" ht="13.5" customHeight="1" s="90">
      <c r="A10" s="143" t="n">
        <v>2026</v>
      </c>
      <c r="B10" s="110" t="n">
        <v>88</v>
      </c>
      <c r="C10" s="144" t="n">
        <v>28</v>
      </c>
      <c r="D10" s="144" t="n">
        <v>30</v>
      </c>
      <c r="E10" s="144" t="n">
        <v>12</v>
      </c>
      <c r="F10" s="144" t="n">
        <v>8</v>
      </c>
      <c r="G10" s="144" t="n">
        <v>10</v>
      </c>
      <c r="H10" s="140">
        <f>SUM(C10:G10)</f>
        <v/>
      </c>
      <c r="I10" s="145" t="inlineStr">
        <is>
          <t>Forecast</t>
        </is>
      </c>
    </row>
    <row r="11" ht="13.5" customHeight="1" s="90">
      <c r="A11" s="143" t="n">
        <v>2027</v>
      </c>
      <c r="B11" s="110" t="n">
        <v>110</v>
      </c>
      <c r="C11" s="144" t="n">
        <v>35</v>
      </c>
      <c r="D11" s="144" t="n">
        <v>37</v>
      </c>
      <c r="E11" s="144" t="n">
        <v>15</v>
      </c>
      <c r="F11" s="144" t="n">
        <v>11</v>
      </c>
      <c r="G11" s="144" t="n">
        <v>12</v>
      </c>
      <c r="H11" s="140">
        <f>SUM(C11:G11)</f>
        <v/>
      </c>
      <c r="I11" s="145" t="inlineStr">
        <is>
          <t>Forecast</t>
        </is>
      </c>
    </row>
    <row r="12" ht="13.5" customHeight="1" s="90">
      <c r="A12" s="143" t="n">
        <v>2028</v>
      </c>
      <c r="B12" s="110" t="n">
        <v>125</v>
      </c>
      <c r="C12" s="144" t="n">
        <v>40</v>
      </c>
      <c r="D12" s="144" t="n">
        <v>42</v>
      </c>
      <c r="E12" s="144" t="n">
        <v>17</v>
      </c>
      <c r="F12" s="144" t="n">
        <v>12</v>
      </c>
      <c r="G12" s="144" t="n">
        <v>14</v>
      </c>
      <c r="H12" s="140">
        <f>SUM(C12:G12)</f>
        <v/>
      </c>
      <c r="I12" s="145" t="inlineStr">
        <is>
          <t>Forecast</t>
        </is>
      </c>
    </row>
    <row r="13" ht="13.5" customHeight="1" s="90">
      <c r="A13" s="143" t="n">
        <v>2029</v>
      </c>
      <c r="B13" s="110" t="n">
        <v>140</v>
      </c>
      <c r="C13" s="144" t="n">
        <v>44</v>
      </c>
      <c r="D13" s="144" t="n">
        <v>48</v>
      </c>
      <c r="E13" s="144" t="n">
        <v>19</v>
      </c>
      <c r="F13" s="144" t="n">
        <v>13</v>
      </c>
      <c r="G13" s="144" t="n">
        <v>16</v>
      </c>
      <c r="H13" s="140">
        <f>SUM(C13:G13)</f>
        <v/>
      </c>
      <c r="I13" s="145" t="inlineStr">
        <is>
          <t>Forecast</t>
        </is>
      </c>
    </row>
    <row r="14" ht="13.5" customHeight="1" s="90">
      <c r="A14" s="143" t="n">
        <v>2030</v>
      </c>
      <c r="B14" s="110" t="n">
        <v>180</v>
      </c>
      <c r="C14" s="144" t="n">
        <v>56</v>
      </c>
      <c r="D14" s="144" t="n">
        <v>62</v>
      </c>
      <c r="E14" s="144" t="n">
        <v>24</v>
      </c>
      <c r="F14" s="144" t="n">
        <v>17</v>
      </c>
      <c r="G14" s="144" t="n">
        <v>21</v>
      </c>
      <c r="H14" s="140">
        <f>SUM(C14:G14)</f>
        <v/>
      </c>
      <c r="I14" s="145" t="inlineStr">
        <is>
          <t>Forecast</t>
        </is>
      </c>
    </row>
    <row r="15" ht="13.5" customHeight="1" s="90">
      <c r="A15" s="109" t="inlineStr">
        <is>
          <t>2025-2030 Total</t>
        </is>
      </c>
      <c r="B15" s="146">
        <f>SUM(B9:B14)</f>
        <v/>
      </c>
    </row>
    <row r="16" ht="15.75" customHeight="1" s="90">
      <c r="A16" s="113" t="inlineStr">
        <is>
          <t>Source: Evaluate Pharma Pharma &amp; Biotech Patent Expiry 2024; Goldman Sachs Pharma Patent Cliff Analysis; Citeline. Forecast years shaded yellow.</t>
        </is>
      </c>
    </row>
    <row r="18" ht="15" customHeight="1" s="90">
      <c r="A18" s="108" t="inlineStr">
        <is>
          <t>SECTION 2: BIOTECH M&amp;A DEAL VALUE &amp; PREMIUM ANALYSIS</t>
        </is>
      </c>
      <c r="B18" s="97" t="n"/>
      <c r="C18" s="97" t="n"/>
      <c r="D18" s="97" t="n"/>
      <c r="E18" s="97" t="n"/>
      <c r="F18" s="97" t="n"/>
      <c r="G18" s="97" t="n"/>
      <c r="H18" s="97" t="n"/>
      <c r="I18" s="97" t="n"/>
      <c r="J18" s="98" t="n"/>
    </row>
    <row r="19" ht="13.5" customHeight="1" s="90">
      <c r="A19" s="109" t="inlineStr">
        <is>
          <t>Year</t>
        </is>
      </c>
      <c r="B19" s="109" t="inlineStr">
        <is>
          <t>Deal Count (&gt;$500m)</t>
        </is>
      </c>
      <c r="C19" s="109" t="inlineStr">
        <is>
          <t>Total Value ($bn)</t>
        </is>
      </c>
      <c r="D19" s="109" t="inlineStr">
        <is>
          <t>Avg Deal Size ($bn)</t>
        </is>
      </c>
      <c r="E19" s="109" t="inlineStr">
        <is>
          <t>Median Premium (%)</t>
        </is>
      </c>
      <c r="F19" s="109" t="inlineStr">
        <is>
          <t>Largest Deal ($bn)</t>
        </is>
      </c>
      <c r="G19" s="109" t="inlineStr">
        <is>
          <t>Acquirer Type</t>
        </is>
      </c>
      <c r="H19" s="109" t="inlineStr">
        <is>
          <t>Avg Premium (%)</t>
        </is>
      </c>
    </row>
    <row r="20" ht="13.5" customHeight="1" s="90">
      <c r="A20" s="114" t="n">
        <v>2019</v>
      </c>
      <c r="B20" s="119" t="n">
        <v>12</v>
      </c>
      <c r="C20" s="110" t="n">
        <v>130</v>
      </c>
      <c r="D20" s="147">
        <f>C20/B20</f>
        <v/>
      </c>
      <c r="E20" s="148" t="n">
        <v>0.5600000000000001</v>
      </c>
      <c r="F20" s="110" t="n">
        <v>74</v>
      </c>
      <c r="G20" s="103" t="inlineStr">
        <is>
          <t>Big Pharma / Diversified</t>
        </is>
      </c>
      <c r="H20" s="148" t="n">
        <v>0.58</v>
      </c>
    </row>
    <row r="21" ht="13.5" customHeight="1" s="90">
      <c r="A21" s="117" t="n">
        <v>2020</v>
      </c>
      <c r="B21" s="119" t="n">
        <v>8</v>
      </c>
      <c r="C21" s="110" t="n">
        <v>78</v>
      </c>
      <c r="D21" s="147">
        <f>C21/B21</f>
        <v/>
      </c>
      <c r="E21" s="148" t="n">
        <v>0.42</v>
      </c>
      <c r="F21" s="110" t="n">
        <v>21</v>
      </c>
      <c r="G21" s="103" t="inlineStr">
        <is>
          <t>Big Pharma</t>
        </is>
      </c>
      <c r="H21" s="148" t="n">
        <v>0.51</v>
      </c>
    </row>
    <row r="22" ht="13.5" customHeight="1" s="90">
      <c r="A22" s="114" t="n">
        <v>2021</v>
      </c>
      <c r="B22" s="119" t="n">
        <v>10</v>
      </c>
      <c r="C22" s="110" t="n">
        <v>95</v>
      </c>
      <c r="D22" s="147">
        <f>C22/B22</f>
        <v/>
      </c>
      <c r="E22" s="148" t="n">
        <v>0.48</v>
      </c>
      <c r="F22" s="110" t="n">
        <v>30</v>
      </c>
      <c r="G22" s="103" t="inlineStr">
        <is>
          <t>Mixed</t>
        </is>
      </c>
      <c r="H22" s="148" t="n">
        <v>0.55</v>
      </c>
    </row>
    <row r="23" ht="13.5" customHeight="1" s="90">
      <c r="A23" s="117" t="n">
        <v>2022</v>
      </c>
      <c r="B23" s="119" t="n">
        <v>7</v>
      </c>
      <c r="C23" s="110" t="n">
        <v>78</v>
      </c>
      <c r="D23" s="147">
        <f>C23/B23</f>
        <v/>
      </c>
      <c r="E23" s="148" t="n">
        <v>0.38</v>
      </c>
      <c r="F23" s="110" t="n">
        <v>28</v>
      </c>
      <c r="G23" s="103" t="inlineStr">
        <is>
          <t>Big Pharma</t>
        </is>
      </c>
      <c r="H23" s="148" t="n">
        <v>0.48</v>
      </c>
    </row>
    <row r="24" ht="13.5" customHeight="1" s="90">
      <c r="A24" s="114" t="n">
        <v>2023</v>
      </c>
      <c r="B24" s="119" t="n">
        <v>15</v>
      </c>
      <c r="C24" s="110" t="n">
        <v>148</v>
      </c>
      <c r="D24" s="147">
        <f>C24/B24</f>
        <v/>
      </c>
      <c r="E24" s="148" t="n">
        <v>0.63</v>
      </c>
      <c r="F24" s="110" t="n">
        <v>43</v>
      </c>
      <c r="G24" s="103" t="inlineStr">
        <is>
          <t>Big Pharma / Specialty</t>
        </is>
      </c>
      <c r="H24" s="148" t="n">
        <v>0.72</v>
      </c>
    </row>
    <row r="25" ht="13.5" customHeight="1" s="90">
      <c r="A25" s="117" t="n">
        <v>2024</v>
      </c>
      <c r="B25" s="119" t="n">
        <v>14</v>
      </c>
      <c r="C25" s="110" t="n">
        <v>145</v>
      </c>
      <c r="D25" s="147">
        <f>C25/B25</f>
        <v/>
      </c>
      <c r="E25" s="148" t="n">
        <v>0.62</v>
      </c>
      <c r="F25" s="110" t="n">
        <v>35</v>
      </c>
      <c r="G25" s="103" t="inlineStr">
        <is>
          <t>Big Pharma / Specialty</t>
        </is>
      </c>
      <c r="H25" s="148" t="n">
        <v>0.6899999999999999</v>
      </c>
    </row>
    <row r="27" ht="15" customHeight="1" s="90">
      <c r="A27" s="108" t="inlineStr">
        <is>
          <t>M&amp;A SUMMARY STATISTICS</t>
        </is>
      </c>
      <c r="B27" s="97" t="n"/>
      <c r="C27" s="97" t="n"/>
      <c r="D27" s="97" t="n"/>
      <c r="E27" s="97" t="n"/>
      <c r="F27" s="97" t="n"/>
      <c r="G27" s="97" t="n"/>
      <c r="H27" s="97" t="n"/>
      <c r="I27" s="97" t="n"/>
      <c r="J27" s="98" t="n"/>
    </row>
    <row r="28" ht="13.5" customHeight="1" s="90">
      <c r="A28" s="103" t="inlineStr">
        <is>
          <t>Total M&amp;A Value 2019-2024 ($bn)</t>
        </is>
      </c>
      <c r="B28" s="149">
        <f>SUM(C20:C25)</f>
        <v/>
      </c>
    </row>
    <row r="29" ht="13.5" customHeight="1" s="90">
      <c r="A29" s="100" t="inlineStr">
        <is>
          <t>Total Deals &gt;$500m (2019-2024)</t>
        </is>
      </c>
      <c r="B29" s="134">
        <f>SUM(B20:B25)</f>
        <v/>
      </c>
    </row>
    <row r="30" ht="13.5" customHeight="1" s="90">
      <c r="A30" s="103" t="inlineStr">
        <is>
          <t>6yr Average Deal Value ($bn)</t>
        </is>
      </c>
      <c r="B30" s="128">
        <f>AVERAGE(C20:C25)</f>
        <v/>
      </c>
    </row>
    <row r="31" ht="13.5" customHeight="1" s="90">
      <c r="A31" s="100" t="inlineStr">
        <is>
          <t>Average M&amp;A Premium (6yr avg)</t>
        </is>
      </c>
      <c r="B31" s="150">
        <f>AVERAGE(H20:H25)</f>
        <v/>
      </c>
    </row>
    <row r="32" ht="13.5" customHeight="1" s="90">
      <c r="A32" s="103" t="inlineStr">
        <is>
          <t>Peak Deal Value Year</t>
        </is>
      </c>
      <c r="B32" s="123">
        <f>INDEX(A20:A25,MATCH(MAX(C20:C25),C20:C25,0))</f>
        <v/>
      </c>
    </row>
    <row r="33" ht="13.5" customHeight="1" s="90">
      <c r="A33" s="100" t="inlineStr">
        <is>
          <t>2023-24 avg vs 2019-22 avg</t>
        </is>
      </c>
      <c r="B33" s="126">
        <f>AVERAGE(C24:C25)/AVERAGE(C20:C23)-1</f>
        <v/>
      </c>
    </row>
    <row r="35" ht="15.75" customHeight="1" s="90">
      <c r="A35" s="113" t="inlineStr">
        <is>
          <t>Source: Bloomberg M&amp;A database, Dealogic, Evaluate Pharma M&amp;A league tables. Deals &gt;$500m in disclosed transaction value. Premium = % above 30-day VWAP at announcement.</t>
        </is>
      </c>
    </row>
  </sheetData>
  <mergeCells count="6">
    <mergeCell ref="A1:J1"/>
    <mergeCell ref="A18:J18"/>
    <mergeCell ref="A27:J27"/>
    <mergeCell ref="A3:J3"/>
    <mergeCell ref="A35:J35"/>
    <mergeCell ref="A16:J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J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8" customWidth="1" style="89" min="1" max="1"/>
    <col width="14" customWidth="1" style="89" min="2" max="4"/>
    <col width="36" customWidth="1" style="89" min="5" max="5"/>
    <col width="12" customWidth="1" style="89" min="6" max="10"/>
  </cols>
  <sheetData>
    <row r="1" ht="27.75" customHeight="1" s="90">
      <c r="A1" s="91" t="inlineStr">
        <is>
          <t>BIOTECH SCENARIO RETURN MODEL  |  EV/SALES RE-RATING + M&amp;A PROBABILITY</t>
        </is>
      </c>
    </row>
    <row r="3" ht="15.75" customHeight="1" s="90">
      <c r="A3" s="108" t="inlineStr">
        <is>
          <t>MODEL ASSUMPTIONS  (Blue = Input | Yellow = Key Assumption)</t>
        </is>
      </c>
      <c r="B3" s="97" t="n"/>
      <c r="C3" s="97" t="n"/>
      <c r="D3" s="97" t="n"/>
      <c r="E3" s="97" t="n"/>
      <c r="F3" s="97" t="n"/>
      <c r="G3" s="97" t="n"/>
      <c r="H3" s="97" t="n"/>
      <c r="I3" s="97" t="n"/>
      <c r="J3" s="98" t="n"/>
    </row>
    <row r="4" ht="13.5" customHeight="1" s="90">
      <c r="A4" s="109" t="inlineStr">
        <is>
          <t>Parameter</t>
        </is>
      </c>
      <c r="B4" s="109" t="inlineStr">
        <is>
          <t>Bear</t>
        </is>
      </c>
      <c r="C4" s="109" t="inlineStr">
        <is>
          <t>Base</t>
        </is>
      </c>
      <c r="D4" s="109" t="inlineStr">
        <is>
          <t>Bull</t>
        </is>
      </c>
      <c r="E4" s="109" t="inlineStr">
        <is>
          <t>Notes</t>
        </is>
      </c>
    </row>
    <row r="5" ht="13.5" customHeight="1" s="90">
      <c r="A5" s="103" t="inlineStr">
        <is>
          <t>Entry EV/Sales (x)</t>
        </is>
      </c>
      <c r="B5" s="151" t="n">
        <v>4.8</v>
      </c>
      <c r="C5" s="151" t="n">
        <v>5.5</v>
      </c>
      <c r="D5" s="151" t="n">
        <v>5.5</v>
      </c>
      <c r="E5" s="103" t="inlineStr">
        <is>
          <t>Current sector EV/Sales (XBI proxy)</t>
        </is>
      </c>
    </row>
    <row r="6" ht="13.5" customHeight="1" s="90">
      <c r="A6" s="152" t="inlineStr">
        <is>
          <t>Exit EV/Sales (x)</t>
        </is>
      </c>
      <c r="B6" s="153" t="n">
        <v>5.5</v>
      </c>
      <c r="C6" s="153" t="n">
        <v>7.2</v>
      </c>
      <c r="D6" s="153" t="n">
        <v>9</v>
      </c>
      <c r="E6" s="152" t="inlineStr">
        <is>
          <t>Bear=partial, Base=mean reversion, Bull=2021 peak</t>
        </is>
      </c>
    </row>
    <row r="7" ht="13.5" customHeight="1" s="90">
      <c r="A7" s="103" t="inlineStr">
        <is>
          <t>Forward Revenue Growth (%)</t>
        </is>
      </c>
      <c r="B7" s="154" t="n">
        <v>0.08</v>
      </c>
      <c r="C7" s="154" t="n">
        <v>0.12</v>
      </c>
      <c r="D7" s="154" t="n">
        <v>0.18</v>
      </c>
      <c r="E7" s="103" t="inlineStr">
        <is>
          <t>Sector NTM consensus revenue CAGR</t>
        </is>
      </c>
    </row>
    <row r="8" ht="13.5" customHeight="1" s="90">
      <c r="A8" s="100" t="inlineStr">
        <is>
          <t>Holding Period (years)</t>
        </is>
      </c>
      <c r="B8" s="155" t="n">
        <v>3</v>
      </c>
      <c r="C8" s="155" t="n">
        <v>3</v>
      </c>
      <c r="D8" s="155" t="n">
        <v>3</v>
      </c>
      <c r="E8" s="100" t="inlineStr">
        <is>
          <t>Investment horizon</t>
        </is>
      </c>
    </row>
    <row r="9" ht="13.5" customHeight="1" s="90">
      <c r="A9" s="103" t="inlineStr">
        <is>
          <t>Starting Index Level</t>
        </is>
      </c>
      <c r="B9" s="156" t="n">
        <v>100</v>
      </c>
      <c r="C9" s="156" t="n">
        <v>100</v>
      </c>
      <c r="D9" s="156" t="n">
        <v>100</v>
      </c>
      <c r="E9" s="103" t="inlineStr">
        <is>
          <t>Normalised entry = 100</t>
        </is>
      </c>
    </row>
    <row r="10" ht="13.5" customHeight="1" s="90">
      <c r="A10" s="152" t="inlineStr">
        <is>
          <t>M&amp;A Probability (%)</t>
        </is>
      </c>
      <c r="B10" s="157" t="n">
        <v>0.05</v>
      </c>
      <c r="C10" s="157" t="n">
        <v>0.12</v>
      </c>
      <c r="D10" s="157" t="n">
        <v>0.2</v>
      </c>
      <c r="E10" s="152" t="inlineStr">
        <is>
          <t>Prob of portfolio co. acquired (annual)</t>
        </is>
      </c>
    </row>
    <row r="11" ht="13.5" customHeight="1" s="90">
      <c r="A11" s="152" t="inlineStr">
        <is>
          <t>Takeover Premium (%)</t>
        </is>
      </c>
      <c r="B11" s="157" t="n">
        <v>0.45</v>
      </c>
      <c r="C11" s="157" t="n">
        <v>0.64</v>
      </c>
      <c r="D11" s="157" t="n">
        <v>0.8</v>
      </c>
      <c r="E11" s="152" t="inlineStr">
        <is>
          <t>Based on 6yr Bloomberg average of 64%</t>
        </is>
      </c>
    </row>
    <row r="12" ht="13.5" customHeight="1" s="90">
      <c r="A12" s="100" t="inlineStr">
        <is>
          <t>Dividend / Buyback Yield (%)</t>
        </is>
      </c>
      <c r="B12" s="158" t="n">
        <v>0.005</v>
      </c>
      <c r="C12" s="158" t="n">
        <v>0.01</v>
      </c>
      <c r="D12" s="158" t="n">
        <v>0.015</v>
      </c>
      <c r="E12" s="100" t="inlineStr">
        <is>
          <t>Low yield sector; buybacks dominate</t>
        </is>
      </c>
    </row>
    <row r="15" ht="15.75" customHeight="1" s="90">
      <c r="A15" s="108" t="inlineStr">
        <is>
          <t>SCENARIO OUTPUT  |  3-YEAR TOTAL RETURN PROJECTIONS</t>
        </is>
      </c>
      <c r="B15" s="97" t="n"/>
      <c r="C15" s="97" t="n"/>
      <c r="D15" s="97" t="n"/>
      <c r="E15" s="97" t="n"/>
      <c r="F15" s="97" t="n"/>
      <c r="G15" s="97" t="n"/>
      <c r="H15" s="97" t="n"/>
      <c r="I15" s="97" t="n"/>
      <c r="J15" s="98" t="n"/>
    </row>
    <row r="16" ht="13.5" customHeight="1" s="90">
      <c r="A16" s="109" t="inlineStr">
        <is>
          <t>Output</t>
        </is>
      </c>
      <c r="B16" s="109" t="inlineStr">
        <is>
          <t>Bear</t>
        </is>
      </c>
      <c r="C16" s="109" t="inlineStr">
        <is>
          <t>Base</t>
        </is>
      </c>
      <c r="D16" s="109" t="inlineStr">
        <is>
          <t>Bull</t>
        </is>
      </c>
    </row>
    <row r="17" ht="13.5" customHeight="1" s="90">
      <c r="A17" s="159" t="inlineStr">
        <is>
          <t>Year 3 Revenue Index (entry=100)</t>
        </is>
      </c>
      <c r="B17" s="128">
        <f>D9*(1+B7)^B8</f>
        <v/>
      </c>
      <c r="C17" s="128">
        <f>D9*(1+C7)^C8</f>
        <v/>
      </c>
      <c r="D17" s="128">
        <f>D9*(1+D7)^D8</f>
        <v/>
      </c>
    </row>
    <row r="18" ht="13.5" customHeight="1" s="90">
      <c r="A18" s="160" t="inlineStr">
        <is>
          <t>Year 3 EV (Revenue x Exit Multiple)</t>
        </is>
      </c>
      <c r="B18" s="136">
        <f>B17*B6</f>
        <v/>
      </c>
      <c r="C18" s="136">
        <f>C17*C6</f>
        <v/>
      </c>
      <c r="D18" s="136">
        <f>D17*D6</f>
        <v/>
      </c>
    </row>
    <row r="19" ht="13.5" customHeight="1" s="90">
      <c r="A19" s="159" t="inlineStr">
        <is>
          <t>EV/Sales Re-rating Return (%)</t>
        </is>
      </c>
      <c r="B19" s="139">
        <f>B18/D9/B5-1</f>
        <v/>
      </c>
      <c r="C19" s="139">
        <f>C18/D9/C5-1</f>
        <v/>
      </c>
      <c r="D19" s="139">
        <f>D18/D9/D5-1</f>
        <v/>
      </c>
    </row>
    <row r="20" ht="13.5" customHeight="1" s="90">
      <c r="A20" s="160" t="inlineStr">
        <is>
          <t>Cumulative Dividend Return (%)</t>
        </is>
      </c>
      <c r="B20" s="126">
        <f>(1+B12)^B8-1</f>
        <v/>
      </c>
      <c r="C20" s="126">
        <f>(1+C12)^C8-1</f>
        <v/>
      </c>
      <c r="D20" s="126">
        <f>(1+D12)^D8-1</f>
        <v/>
      </c>
    </row>
    <row r="21" ht="13.5" customHeight="1" s="90">
      <c r="A21" s="159" t="inlineStr">
        <is>
          <t>M&amp;A Uplift (prob-weighted, %)</t>
        </is>
      </c>
      <c r="B21" s="139">
        <f>1-(1-B10)^B8*( 1-B11*(1-(1-B10)^B8))</f>
        <v/>
      </c>
      <c r="C21" s="139">
        <f>1-(1-C10)^C8*(1-C11*(1-(1-C10)^C8))</f>
        <v/>
      </c>
      <c r="D21" s="139">
        <f>1-(1-D10)^D8*(1-D11*(1-(1-D10)^D8))</f>
        <v/>
      </c>
    </row>
    <row r="22" ht="13.5" customHeight="1" s="90">
      <c r="A22" s="161" t="inlineStr">
        <is>
          <t>Total Return (%)</t>
        </is>
      </c>
      <c r="B22" s="162">
        <f>B19+B20+B21</f>
        <v/>
      </c>
      <c r="C22" s="162">
        <f>C19+C20+C21</f>
        <v/>
      </c>
      <c r="D22" s="162">
        <f>D19+D20+D21</f>
        <v/>
      </c>
    </row>
    <row r="23" ht="13.5" customHeight="1" s="90">
      <c r="A23" s="161" t="inlineStr">
        <is>
          <t>CAGR (%)</t>
        </is>
      </c>
      <c r="B23" s="162">
        <f>(1+B22)^(1/B8)-1</f>
        <v/>
      </c>
      <c r="C23" s="162">
        <f>(1+C22)^(1/C8)-1</f>
        <v/>
      </c>
      <c r="D23" s="162">
        <f>(1+D22)^(1/D8)-1</f>
        <v/>
      </c>
    </row>
    <row r="24" ht="13.5" customHeight="1" s="90">
      <c r="A24" s="160" t="inlineStr">
        <is>
          <t>EV/Sales Expansion (entry-&gt;exit)</t>
        </is>
      </c>
      <c r="B24" s="136">
        <f>B6-B5</f>
        <v/>
      </c>
      <c r="C24" s="136">
        <f>C6-C5</f>
        <v/>
      </c>
      <c r="D24" s="136">
        <f>D6-D5</f>
        <v/>
      </c>
    </row>
    <row r="26" ht="15.75" customHeight="1" s="90">
      <c r="A26" s="96" t="inlineStr">
        <is>
          <t>PROBABILITY-WEIGHTED EXPECTED RETURN</t>
        </is>
      </c>
      <c r="B26" s="97" t="n"/>
      <c r="C26" s="97" t="n"/>
      <c r="D26" s="98" t="n"/>
    </row>
    <row r="27" ht="15" customHeight="1" s="90">
      <c r="A27" s="109" t="inlineStr">
        <is>
          <t>Scenario</t>
        </is>
      </c>
      <c r="B27" s="109" t="inlineStr">
        <is>
          <t>Probability</t>
        </is>
      </c>
      <c r="C27" s="109" t="inlineStr">
        <is>
          <t>Total Return (%)</t>
        </is>
      </c>
      <c r="D27" s="109" t="inlineStr">
        <is>
          <t>Weighted Return (%)</t>
        </is>
      </c>
    </row>
    <row r="28" ht="13.5" customHeight="1" s="90">
      <c r="A28" s="163" t="inlineStr">
        <is>
          <t>Bear</t>
        </is>
      </c>
      <c r="B28" s="154" t="n">
        <v>0.25</v>
      </c>
      <c r="C28" s="164">
        <f>B23</f>
        <v/>
      </c>
      <c r="D28" s="139">
        <f>B28*C28</f>
        <v/>
      </c>
    </row>
    <row r="29" ht="13.5" customHeight="1" s="90">
      <c r="A29" s="165" t="inlineStr">
        <is>
          <t>Base</t>
        </is>
      </c>
      <c r="B29" s="154" t="n">
        <v>0.5</v>
      </c>
      <c r="C29" s="164">
        <f>C23</f>
        <v/>
      </c>
      <c r="D29" s="139">
        <f>B29*C29</f>
        <v/>
      </c>
    </row>
    <row r="30" ht="13.5" customHeight="1" s="90">
      <c r="A30" s="166" t="inlineStr">
        <is>
          <t>Bull</t>
        </is>
      </c>
      <c r="B30" s="154" t="n">
        <v>0.25</v>
      </c>
      <c r="C30" s="164">
        <f>D23</f>
        <v/>
      </c>
      <c r="D30" s="139">
        <f>B30*C30</f>
        <v/>
      </c>
    </row>
    <row r="31" ht="15.75" customHeight="1" s="90">
      <c r="A31" s="161" t="inlineStr">
        <is>
          <t>Expected Return (prob-weighted)</t>
        </is>
      </c>
      <c r="D31" s="167">
        <f>SUM(D28:D30)</f>
        <v/>
      </c>
    </row>
    <row r="32" ht="15.75" customHeight="1" s="90">
      <c r="A32" s="161" t="inlineStr">
        <is>
          <t>Expected CAGR (prob-weighted, 3yr)</t>
        </is>
      </c>
      <c r="D32" s="167">
        <f>(1+D31)^(1/B8)-1</f>
        <v/>
      </c>
    </row>
    <row r="34" ht="27.75" customHeight="1" s="90">
      <c r="A34" s="168" t="inlineStr">
        <is>
          <t>Note: M&amp;A uplift uses simplified actuarial model: prob-weighted premium * probability of bid. EV/Sales re-rating assumes sector-wide multiple expansion; individual stock selection adds alpha. Model does not account for stock-specific FDA binary events or financing risk.</t>
        </is>
      </c>
    </row>
  </sheetData>
  <mergeCells count="5">
    <mergeCell ref="A1:J1"/>
    <mergeCell ref="A26:D26"/>
    <mergeCell ref="A3:J3"/>
    <mergeCell ref="A34:J34"/>
    <mergeCell ref="A15:J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K4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4" customWidth="1" style="89" min="1" max="1"/>
    <col width="11" customWidth="1" style="89" min="2" max="3"/>
    <col width="18" customWidth="1" style="89" min="4" max="4"/>
    <col width="16" customWidth="1" style="89" min="5" max="5"/>
    <col width="10" customWidth="1" style="89" min="6" max="6"/>
    <col width="15" customWidth="1" style="89" min="7" max="7"/>
    <col width="34" customWidth="1" style="89" min="8" max="8"/>
    <col width="18" customWidth="1" style="89" min="9" max="9"/>
    <col width="12" customWidth="1" style="89" min="10" max="11"/>
  </cols>
  <sheetData>
    <row r="1" ht="27.75" customHeight="1" s="90">
      <c r="A1" s="91" t="inlineStr">
        <is>
          <t>GLOBAL BIOTECH PIPELINE COMPOSITION  |  PHASE 2 &amp; 3 BY INDICATION  |  Q4 2024</t>
        </is>
      </c>
    </row>
    <row r="3" ht="15" customHeight="1" s="90">
      <c r="A3" s="108" t="inlineStr">
        <is>
          <t>PIPELINE BY INDICATION AND CLINICAL PHASE</t>
        </is>
      </c>
      <c r="B3" s="97" t="n"/>
      <c r="C3" s="97" t="n"/>
      <c r="D3" s="97" t="n"/>
      <c r="E3" s="97" t="n"/>
      <c r="F3" s="97" t="n"/>
      <c r="G3" s="97" t="n"/>
      <c r="H3" s="97" t="n"/>
      <c r="I3" s="97" t="n"/>
      <c r="J3" s="97" t="n"/>
      <c r="K3" s="98" t="n"/>
    </row>
    <row r="4" ht="27.75" customHeight="1" s="90">
      <c r="A4" s="109" t="inlineStr">
        <is>
          <t>Indication</t>
        </is>
      </c>
      <c r="B4" s="109" t="inlineStr">
        <is>
          <t>Phase 1</t>
        </is>
      </c>
      <c r="C4" s="109" t="inlineStr">
        <is>
          <t>Phase 2</t>
        </is>
      </c>
      <c r="D4" s="109" t="inlineStr">
        <is>
          <t>Phase 3</t>
        </is>
      </c>
      <c r="E4" s="109" t="inlineStr">
        <is>
          <t>NDA/BLA Filed</t>
        </is>
      </c>
      <c r="F4" s="109" t="inlineStr">
        <is>
          <t>3yr Approval Rate</t>
        </is>
      </c>
      <c r="G4" s="109" t="inlineStr">
        <is>
          <t>Key Mechanisms</t>
        </is>
      </c>
      <c r="H4" s="109" t="inlineStr">
        <is>
          <t>Lead Asset Examples</t>
        </is>
      </c>
      <c r="I4" s="109" t="inlineStr">
        <is>
          <t>Market Size 2030E ($bn)</t>
        </is>
      </c>
    </row>
    <row r="5" ht="15.75" customHeight="1" s="90">
      <c r="A5" s="103" t="inlineStr">
        <is>
          <t>Oncology (solid tumours)</t>
        </is>
      </c>
      <c r="B5" s="110" t="n">
        <v>620</v>
      </c>
      <c r="C5" s="110" t="n">
        <v>380</v>
      </c>
      <c r="D5" s="110" t="n">
        <v>185</v>
      </c>
      <c r="E5" s="110" t="n">
        <v>45</v>
      </c>
      <c r="F5" s="169" t="n">
        <v>0.62</v>
      </c>
      <c r="G5" s="103" t="inlineStr">
        <is>
          <t>ADC, bispecific Ab, CAR-T, IO checkpoint</t>
        </is>
      </c>
      <c r="H5" s="103" t="inlineStr">
        <is>
          <t>Dato-DXd, Tarlatamab, LY3475070</t>
        </is>
      </c>
      <c r="I5" s="110" t="n">
        <v>420</v>
      </c>
    </row>
    <row r="6" ht="15.75" customHeight="1" s="90">
      <c r="A6" s="100" t="inlineStr">
        <is>
          <t>Haematologic oncology</t>
        </is>
      </c>
      <c r="B6" s="142" t="n">
        <v>210</v>
      </c>
      <c r="C6" s="142" t="n">
        <v>140</v>
      </c>
      <c r="D6" s="142" t="n">
        <v>68</v>
      </c>
      <c r="E6" s="142" t="n">
        <v>18</v>
      </c>
      <c r="F6" s="169" t="n">
        <v>0.67</v>
      </c>
      <c r="G6" s="100" t="inlineStr">
        <is>
          <t>BTK, BCL-2, CAR-T, bispecific</t>
        </is>
      </c>
      <c r="H6" s="100" t="inlineStr">
        <is>
          <t>Mosunetuzumab, Epcoritamab, Inavolisib</t>
        </is>
      </c>
      <c r="I6" s="142" t="n">
        <v>185</v>
      </c>
    </row>
    <row r="7" ht="15.75" customHeight="1" s="90">
      <c r="A7" s="103" t="inlineStr">
        <is>
          <t>Rare / Orphan Disease</t>
        </is>
      </c>
      <c r="B7" s="110" t="n">
        <v>310</v>
      </c>
      <c r="C7" s="110" t="n">
        <v>220</v>
      </c>
      <c r="D7" s="110" t="n">
        <v>95</v>
      </c>
      <c r="E7" s="110" t="n">
        <v>28</v>
      </c>
      <c r="F7" s="148" t="n">
        <v>0.58</v>
      </c>
      <c r="G7" s="103" t="inlineStr">
        <is>
          <t>Gene therapy, ASO, enzyme replacement</t>
        </is>
      </c>
      <c r="H7" s="103" t="inlineStr">
        <is>
          <t>Fidanacogene, Delandistrogene, Patisiran</t>
        </is>
      </c>
      <c r="I7" s="110" t="n">
        <v>145</v>
      </c>
    </row>
    <row r="8" ht="15.75" customHeight="1" s="90">
      <c r="A8" s="100" t="inlineStr">
        <is>
          <t>Neurology / CNS</t>
        </is>
      </c>
      <c r="B8" s="142" t="n">
        <v>280</v>
      </c>
      <c r="C8" s="142" t="n">
        <v>165</v>
      </c>
      <c r="D8" s="142" t="n">
        <v>72</v>
      </c>
      <c r="E8" s="142" t="n">
        <v>18</v>
      </c>
      <c r="F8" s="170" t="n">
        <v>0.47</v>
      </c>
      <c r="G8" s="100" t="inlineStr">
        <is>
          <t>BACE inhib, tau, alpha-syn, GLP-1R agonist</t>
        </is>
      </c>
      <c r="H8" s="100" t="inlineStr">
        <is>
          <t>Donanemab, Lecanemab, Semaglutide CNS</t>
        </is>
      </c>
      <c r="I8" s="142" t="n">
        <v>210</v>
      </c>
    </row>
    <row r="9" ht="15.75" customHeight="1" s="90">
      <c r="A9" s="103" t="inlineStr">
        <is>
          <t>Immunology / Inflammation</t>
        </is>
      </c>
      <c r="B9" s="110" t="n">
        <v>190</v>
      </c>
      <c r="C9" s="110" t="n">
        <v>140</v>
      </c>
      <c r="D9" s="110" t="n">
        <v>65</v>
      </c>
      <c r="E9" s="110" t="n">
        <v>22</v>
      </c>
      <c r="F9" s="169" t="n">
        <v>0.63</v>
      </c>
      <c r="G9" s="103" t="inlineStr">
        <is>
          <t>IL-17/23, JAK 1/2, TYK2, BTK</t>
        </is>
      </c>
      <c r="H9" s="103" t="inlineStr">
        <is>
          <t>Bimekizumab, Deucravacitinib, Izokibep</t>
        </is>
      </c>
      <c r="I9" s="110" t="n">
        <v>160</v>
      </c>
    </row>
    <row r="10" ht="15.75" customHeight="1" s="90">
      <c r="A10" s="100" t="inlineStr">
        <is>
          <t>Cardiometabolic</t>
        </is>
      </c>
      <c r="B10" s="142" t="n">
        <v>175</v>
      </c>
      <c r="C10" s="142" t="n">
        <v>120</v>
      </c>
      <c r="D10" s="142" t="n">
        <v>55</v>
      </c>
      <c r="E10" s="142" t="n">
        <v>15</v>
      </c>
      <c r="F10" s="171" t="n">
        <v>0.54</v>
      </c>
      <c r="G10" s="100" t="inlineStr">
        <is>
          <t>GLP-1, PCSK9, HSD11B1, SGLT2 expansion</t>
        </is>
      </c>
      <c r="H10" s="100" t="inlineStr">
        <is>
          <t>Orforglipron, Mim8, Ziltivekimab</t>
        </is>
      </c>
      <c r="I10" s="142" t="n">
        <v>195</v>
      </c>
    </row>
    <row r="11" ht="15.75" customHeight="1" s="90">
      <c r="A11" s="103" t="inlineStr">
        <is>
          <t>Infectious Disease</t>
        </is>
      </c>
      <c r="B11" s="110" t="n">
        <v>160</v>
      </c>
      <c r="C11" s="110" t="n">
        <v>95</v>
      </c>
      <c r="D11" s="110" t="n">
        <v>42</v>
      </c>
      <c r="E11" s="110" t="n">
        <v>12</v>
      </c>
      <c r="F11" s="148" t="n">
        <v>0.55</v>
      </c>
      <c r="G11" s="103" t="inlineStr">
        <is>
          <t>mRNA vaccine, NNRTI, integrase, RSV</t>
        </is>
      </c>
      <c r="H11" s="103" t="inlineStr">
        <is>
          <t>mResvia, Lenacapavir, Nirsevimab</t>
        </is>
      </c>
      <c r="I11" s="110" t="n">
        <v>88</v>
      </c>
    </row>
    <row r="12" ht="15.75" customHeight="1" s="90">
      <c r="A12" s="100" t="inlineStr">
        <is>
          <t>Ophthalmology</t>
        </is>
      </c>
      <c r="B12" s="142" t="n">
        <v>110</v>
      </c>
      <c r="C12" s="142" t="n">
        <v>62</v>
      </c>
      <c r="D12" s="142" t="n">
        <v>28</v>
      </c>
      <c r="E12" s="142" t="n">
        <v>8</v>
      </c>
      <c r="F12" s="171" t="n">
        <v>0.51</v>
      </c>
      <c r="G12" s="100" t="inlineStr">
        <is>
          <t>Anti-VEGF, gene therapy, complement</t>
        </is>
      </c>
      <c r="H12" s="100" t="inlineStr">
        <is>
          <t>Ixoberogene, Avacincaptad, Tarcocimab</t>
        </is>
      </c>
      <c r="I12" s="142" t="n">
        <v>55</v>
      </c>
    </row>
    <row r="13" ht="15.75" customHeight="1" s="90">
      <c r="A13" s="103" t="inlineStr">
        <is>
          <t>Gene Therapy (all)</t>
        </is>
      </c>
      <c r="B13" s="110" t="n">
        <v>95</v>
      </c>
      <c r="C13" s="110" t="n">
        <v>70</v>
      </c>
      <c r="D13" s="110" t="n">
        <v>30</v>
      </c>
      <c r="E13" s="110" t="n">
        <v>9</v>
      </c>
      <c r="F13" s="170" t="n">
        <v>0.48</v>
      </c>
      <c r="G13" s="103" t="inlineStr">
        <is>
          <t>AAV, LNP-mRNA, base/prime editing</t>
        </is>
      </c>
      <c r="H13" s="103" t="inlineStr">
        <is>
          <t>Beqvez, Hemgenix, Durveqtide</t>
        </is>
      </c>
      <c r="I13" s="110" t="n">
        <v>72</v>
      </c>
    </row>
    <row r="14" ht="15.75" customHeight="1" s="90">
      <c r="A14" s="100" t="inlineStr">
        <is>
          <t>Dermatology</t>
        </is>
      </c>
      <c r="B14" s="142" t="n">
        <v>85</v>
      </c>
      <c r="C14" s="142" t="n">
        <v>58</v>
      </c>
      <c r="D14" s="142" t="n">
        <v>24</v>
      </c>
      <c r="E14" s="142" t="n">
        <v>7</v>
      </c>
      <c r="F14" s="169" t="n">
        <v>0.6</v>
      </c>
      <c r="G14" s="100" t="inlineStr">
        <is>
          <t>IL-31, OX40, TLR7/8 inhib, TYK2</t>
        </is>
      </c>
      <c r="H14" s="100" t="inlineStr">
        <is>
          <t>Amlitelimab, Rocatinlimab, Povorcitinib</t>
        </is>
      </c>
      <c r="I14" s="142" t="n">
        <v>42</v>
      </c>
    </row>
    <row r="15" ht="15" customHeight="1" s="90">
      <c r="A15" s="96" t="inlineStr">
        <is>
          <t>TOTAL / WEIGHTED AVG</t>
        </is>
      </c>
      <c r="B15" s="172">
        <f>SUM(B5:B14)</f>
        <v/>
      </c>
      <c r="C15" s="172">
        <f>SUM(C5:C14)</f>
        <v/>
      </c>
      <c r="D15" s="172">
        <f>SUM(D5:D14)</f>
        <v/>
      </c>
      <c r="E15" s="172">
        <f>SUM(E5:E14)</f>
        <v/>
      </c>
      <c r="F15" s="162">
        <f>SUMPRODUCT(D5:D14,F5:F14)/SUM(D5:D14)</f>
        <v/>
      </c>
      <c r="I15" s="172">
        <f>SUM(I5:I14)</f>
        <v/>
      </c>
    </row>
    <row r="16" ht="15.75" customHeight="1" s="90">
      <c r="A16" s="113" t="inlineStr">
        <is>
          <t>Source: Citeline Pharma Intelligence / Informa Pharma, Q4 2024. Phase counts = industry-sponsored trials only. Approval rate = 3-year rolling average for trials completing Phase 3 in 2021-2024. Market size = Evaluate Pharma 2030 forecast.</t>
        </is>
      </c>
    </row>
    <row r="18" ht="15" customHeight="1" s="90">
      <c r="A18" s="108" t="inlineStr">
        <is>
          <t>SECTION 2: XBI vs S&amp;P 500 ANNUAL TOTAL RETURNS 2014-2024</t>
        </is>
      </c>
      <c r="B18" s="97" t="n"/>
      <c r="C18" s="97" t="n"/>
      <c r="D18" s="97" t="n"/>
      <c r="E18" s="97" t="n"/>
      <c r="F18" s="97" t="n"/>
      <c r="G18" s="97" t="n"/>
      <c r="H18" s="97" t="n"/>
      <c r="I18" s="97" t="n"/>
      <c r="J18" s="97" t="n"/>
      <c r="K18" s="98" t="n"/>
    </row>
    <row r="19" ht="13.5" customHeight="1" s="90">
      <c r="A19" s="109" t="inlineStr">
        <is>
          <t>Year</t>
        </is>
      </c>
      <c r="B19" s="109" t="inlineStr">
        <is>
          <t>XBI Return</t>
        </is>
      </c>
      <c r="C19" s="109" t="inlineStr">
        <is>
          <t>S&amp;P 500 Return</t>
        </is>
      </c>
      <c r="D19" s="109" t="inlineStr">
        <is>
          <t>XBI vs SPY (spread)</t>
        </is>
      </c>
      <c r="E19" s="109" t="inlineStr">
        <is>
          <t>UST 10yr Avg (%)</t>
        </is>
      </c>
      <c r="F19" s="109" t="inlineStr">
        <is>
          <t>VIX Avg</t>
        </is>
      </c>
      <c r="G19" s="109" t="inlineStr">
        <is>
          <t>XBI Outperform?</t>
        </is>
      </c>
      <c r="H19" s="109" t="inlineStr">
        <is>
          <t>Notes</t>
        </is>
      </c>
    </row>
    <row r="20" ht="13.5" customHeight="1" s="90">
      <c r="A20" s="114" t="n">
        <v>2014</v>
      </c>
      <c r="B20" s="173" t="n">
        <v>0.034</v>
      </c>
      <c r="C20" s="173" t="n">
        <v>0.134</v>
      </c>
      <c r="D20" s="111">
        <f>B20-C20</f>
        <v/>
      </c>
      <c r="E20" s="121" t="n">
        <v>0.0254</v>
      </c>
      <c r="F20" s="120" t="n">
        <v>14.2</v>
      </c>
      <c r="G20" s="174">
        <f>IF(B20&gt;C20,"Yes","No")</f>
        <v/>
      </c>
      <c r="H20" s="103" t="inlineStr">
        <is>
          <t>GLP-1 precursors; Gilead Sovaldi peak</t>
        </is>
      </c>
    </row>
    <row r="21" ht="13.5" customHeight="1" s="90">
      <c r="A21" s="117" t="n">
        <v>2015</v>
      </c>
      <c r="B21" s="173" t="n">
        <v>0.118</v>
      </c>
      <c r="C21" s="173" t="n">
        <v>0.014</v>
      </c>
      <c r="D21" s="175">
        <f>B21-C21</f>
        <v/>
      </c>
      <c r="E21" s="176" t="n">
        <v>0.0214</v>
      </c>
      <c r="F21" s="177" t="n">
        <v>16.7</v>
      </c>
      <c r="G21" s="178">
        <f>IF(B21&gt;C21,"Yes","No")</f>
        <v/>
      </c>
      <c r="H21" s="100" t="inlineStr">
        <is>
          <t>Biotech bubble peak; Valeant controversy</t>
        </is>
      </c>
    </row>
    <row r="22" ht="13.5" customHeight="1" s="90">
      <c r="A22" s="114" t="n">
        <v>2016</v>
      </c>
      <c r="B22" s="179" t="n">
        <v>-0.213</v>
      </c>
      <c r="C22" s="173" t="n">
        <v>0.12</v>
      </c>
      <c r="D22" s="111">
        <f>B22-C22</f>
        <v/>
      </c>
      <c r="E22" s="121" t="n">
        <v>0.0245</v>
      </c>
      <c r="F22" s="120" t="n">
        <v>15.8</v>
      </c>
      <c r="G22" s="174">
        <f>IF(B22&gt;C22,"Yes","No")</f>
        <v/>
      </c>
      <c r="H22" s="103" t="inlineStr">
        <is>
          <t>Drug pricing politics; biotech correction</t>
        </is>
      </c>
    </row>
    <row r="23" ht="13.5" customHeight="1" s="90">
      <c r="A23" s="117" t="n">
        <v>2017</v>
      </c>
      <c r="B23" s="173" t="n">
        <v>0.441</v>
      </c>
      <c r="C23" s="173" t="n">
        <v>0.216</v>
      </c>
      <c r="D23" s="175">
        <f>B23-C23</f>
        <v/>
      </c>
      <c r="E23" s="176" t="n">
        <v>0.0241</v>
      </c>
      <c r="F23" s="177" t="n">
        <v>11.1</v>
      </c>
      <c r="G23" s="178">
        <f>IF(B23&gt;C23,"Yes","No")</f>
        <v/>
      </c>
      <c r="H23" s="100" t="inlineStr">
        <is>
          <t>FDA accelerated approval boom</t>
        </is>
      </c>
    </row>
    <row r="24" ht="13.5" customHeight="1" s="90">
      <c r="A24" s="114" t="n">
        <v>2018</v>
      </c>
      <c r="B24" s="173" t="n">
        <v>0.082</v>
      </c>
      <c r="C24" s="179" t="n">
        <v>-0.043</v>
      </c>
      <c r="D24" s="111">
        <f>B24-C24</f>
        <v/>
      </c>
      <c r="E24" s="121" t="n">
        <v>0.0291</v>
      </c>
      <c r="F24" s="120" t="n">
        <v>16.6</v>
      </c>
      <c r="G24" s="174">
        <f>IF(B24&gt;C24,"Yes","No")</f>
        <v/>
      </c>
      <c r="H24" s="103" t="inlineStr">
        <is>
          <t>Rate rises begin; M&amp;A surge</t>
        </is>
      </c>
    </row>
    <row r="25" ht="13.5" customHeight="1" s="90">
      <c r="A25" s="117" t="n">
        <v>2019</v>
      </c>
      <c r="B25" s="173" t="n">
        <v>0.279</v>
      </c>
      <c r="C25" s="173" t="n">
        <v>0.313</v>
      </c>
      <c r="D25" s="175">
        <f>B25-C25</f>
        <v/>
      </c>
      <c r="E25" s="176" t="n">
        <v>0.0214</v>
      </c>
      <c r="F25" s="177" t="n">
        <v>15.4</v>
      </c>
      <c r="G25" s="178">
        <f>IF(B25&gt;C25,"Yes","No")</f>
        <v/>
      </c>
      <c r="H25" s="100" t="inlineStr">
        <is>
          <t>Rate cuts; strong pipeline data</t>
        </is>
      </c>
    </row>
    <row r="26" ht="13.5" customHeight="1" s="90">
      <c r="A26" s="114" t="n">
        <v>2020</v>
      </c>
      <c r="B26" s="173" t="n">
        <v>0.485</v>
      </c>
      <c r="C26" s="173" t="n">
        <v>0.183</v>
      </c>
      <c r="D26" s="111">
        <f>B26-C26</f>
        <v/>
      </c>
      <c r="E26" s="121" t="n">
        <v>0.009299999999999999</v>
      </c>
      <c r="F26" s="120" t="n">
        <v>24.5</v>
      </c>
      <c r="G26" s="174">
        <f>IF(B26&gt;C26,"Yes","No")</f>
        <v/>
      </c>
      <c r="H26" s="103" t="inlineStr">
        <is>
          <t>COVID mRNA; zero rates; SPAC boom</t>
        </is>
      </c>
    </row>
    <row r="27" ht="13.5" customHeight="1" s="90">
      <c r="A27" s="117" t="n">
        <v>2021</v>
      </c>
      <c r="B27" s="179" t="n">
        <v>-0.216</v>
      </c>
      <c r="C27" s="173" t="n">
        <v>0.267</v>
      </c>
      <c r="D27" s="175">
        <f>B27-C27</f>
        <v/>
      </c>
      <c r="E27" s="176" t="n">
        <v>0.0152</v>
      </c>
      <c r="F27" s="177" t="n">
        <v>19.7</v>
      </c>
      <c r="G27" s="178">
        <f>IF(B27&gt;C27,"Yes","No")</f>
        <v/>
      </c>
      <c r="H27" s="100" t="inlineStr">
        <is>
          <t>Multiple compression begins; rates rise</t>
        </is>
      </c>
    </row>
    <row r="28" ht="13.5" customHeight="1" s="90">
      <c r="A28" s="114" t="n">
        <v>2022</v>
      </c>
      <c r="B28" s="179" t="n">
        <v>-0.454</v>
      </c>
      <c r="C28" s="179" t="n">
        <v>-0.181</v>
      </c>
      <c r="D28" s="111">
        <f>B28-C28</f>
        <v/>
      </c>
      <c r="E28" s="121" t="n">
        <v>0.0388</v>
      </c>
      <c r="F28" s="120" t="n">
        <v>26.5</v>
      </c>
      <c r="G28" s="174">
        <f>IF(B28&gt;C28,"Yes","No")</f>
        <v/>
      </c>
      <c r="H28" s="103" t="inlineStr">
        <is>
          <t>Worst XBI year; peak rate shock</t>
        </is>
      </c>
    </row>
    <row r="29" ht="13.5" customHeight="1" s="90">
      <c r="A29" s="117" t="n">
        <v>2023</v>
      </c>
      <c r="B29" s="173" t="n">
        <v>0.093</v>
      </c>
      <c r="C29" s="173" t="n">
        <v>0.244</v>
      </c>
      <c r="D29" s="175">
        <f>B29-C29</f>
        <v/>
      </c>
      <c r="E29" s="176" t="n">
        <v>0.0397</v>
      </c>
      <c r="F29" s="177" t="n">
        <v>16.8</v>
      </c>
      <c r="G29" s="178">
        <f>IF(B29&gt;C29,"Yes","No")</f>
        <v/>
      </c>
      <c r="H29" s="100" t="inlineStr">
        <is>
          <t>Partial recovery; M&amp;A lifts mid-caps</t>
        </is>
      </c>
    </row>
    <row r="30" ht="13.5" customHeight="1" s="90">
      <c r="A30" s="114" t="n">
        <v>2024</v>
      </c>
      <c r="B30" s="173" t="n">
        <v>0.021</v>
      </c>
      <c r="C30" s="173" t="n">
        <v>0.232</v>
      </c>
      <c r="D30" s="111">
        <f>B30-C30</f>
        <v/>
      </c>
      <c r="E30" s="121" t="n">
        <v>0.0425</v>
      </c>
      <c r="F30" s="120" t="n">
        <v>15.6</v>
      </c>
      <c r="G30" s="174">
        <f>IF(B30&gt;C30,"Yes","No")</f>
        <v/>
      </c>
      <c r="H30" s="103" t="inlineStr">
        <is>
          <t>Rates plateau; slow re-rating</t>
        </is>
      </c>
    </row>
    <row r="32" ht="15" customHeight="1" s="90">
      <c r="A32" s="108" t="inlineStr">
        <is>
          <t>RETURN STATISTICS</t>
        </is>
      </c>
      <c r="B32" s="97" t="n"/>
      <c r="C32" s="97" t="n"/>
      <c r="D32" s="97" t="n"/>
      <c r="E32" s="97" t="n"/>
      <c r="F32" s="97" t="n"/>
      <c r="G32" s="97" t="n"/>
      <c r="H32" s="97" t="n"/>
      <c r="I32" s="97" t="n"/>
      <c r="J32" s="97" t="n"/>
      <c r="K32" s="98" t="n"/>
    </row>
    <row r="33" ht="13.5" customHeight="1" s="90">
      <c r="A33" s="103" t="inlineStr">
        <is>
          <t>XBI Cumulative Return 2014-2024</t>
        </is>
      </c>
      <c r="B33" s="139">
        <f>(1+B20)*(1+B21)*(1+B22)*(1+B23)*(1+B24)*(1+B25)*(1+B26)*(1+B27)*(1+B28)*(1+B29)*(1+B30)-1</f>
        <v/>
      </c>
    </row>
    <row r="34" ht="13.5" customHeight="1" s="90">
      <c r="A34" s="100" t="inlineStr">
        <is>
          <t>SPY Cumulative Return 2014-2024</t>
        </is>
      </c>
      <c r="B34" s="126">
        <f>(1+C20)*(1+C21)*(1+C22)*(1+C23)*(1+C24)*(1+C25)*(1+C26)*(1+C27)*(1+C28)*(1+C29)*(1+C30)-1</f>
        <v/>
      </c>
    </row>
    <row r="35" ht="13.5" customHeight="1" s="90">
      <c r="A35" s="103" t="inlineStr">
        <is>
          <t>XBI CAGR (11yr)</t>
        </is>
      </c>
      <c r="B35" s="180">
        <f>((1+B20)*(1+B21)*(1+B22)*(1+B23)*(1+B24)*(1+B25)*(1+B26)*(1+B27)*(1+B28)*(1+B29)*(1+B30)-1+1)^(1/11)-1</f>
        <v/>
      </c>
    </row>
    <row r="36" ht="13.5" customHeight="1" s="90">
      <c r="A36" s="100" t="inlineStr">
        <is>
          <t>SPY CAGR (11yr)</t>
        </is>
      </c>
      <c r="B36" s="180">
        <f>((1+C20)*(1+C21)*(1+C22)*(1+C23)*(1+C24)*(1+C25)*(1+C26)*(1+C27)*(1+C28)*(1+C29)*(1+C30)-1+1)^(1/11)-1</f>
        <v/>
      </c>
    </row>
    <row r="37" ht="13.5" customHeight="1" s="90">
      <c r="A37" s="103" t="inlineStr">
        <is>
          <t>XBI Mean Annual Return</t>
        </is>
      </c>
      <c r="B37" s="139">
        <f>AVERAGE(B20:B30)</f>
        <v/>
      </c>
    </row>
    <row r="38" ht="13.5" customHeight="1" s="90">
      <c r="A38" s="100" t="inlineStr">
        <is>
          <t>XBI Std Dev (annual)</t>
        </is>
      </c>
      <c r="B38" s="126">
        <f>STDEV(B20:B30)</f>
        <v/>
      </c>
    </row>
    <row r="39" ht="13.5" customHeight="1" s="90">
      <c r="A39" s="103" t="inlineStr">
        <is>
          <t>XBI Sharpe (vs 2.5% rf)</t>
        </is>
      </c>
      <c r="B39" s="181">
        <f>(AVERAGE(B20:B30)-0.025)/STDEV(B20:B30)</f>
        <v/>
      </c>
    </row>
    <row r="40" ht="13.5" customHeight="1" s="90">
      <c r="A40" s="100" t="inlineStr">
        <is>
          <t>Years XBI Outperformed SPY</t>
        </is>
      </c>
      <c r="B40" s="134">
        <f>COUNTIF(D20:D30,"&gt;"&amp;0)</f>
        <v/>
      </c>
    </row>
    <row r="41" ht="13.5" customHeight="1" s="90">
      <c r="A41" s="103" t="inlineStr">
        <is>
          <t>Max Drawdown Year</t>
        </is>
      </c>
      <c r="B41" s="139">
        <f>MIN(B20:B30)</f>
        <v/>
      </c>
    </row>
    <row r="42" ht="13.5" customHeight="1" s="90">
      <c r="A42" s="100" t="inlineStr">
        <is>
          <t>Best Year</t>
        </is>
      </c>
      <c r="B42" s="126">
        <f>MAX(B20:B30)</f>
        <v/>
      </c>
    </row>
    <row r="44" ht="15.75" customHeight="1" s="90">
      <c r="A44" s="113" t="inlineStr">
        <is>
          <t>Source: Bloomberg total return indices. XBI = SPDR S&amp;P Biotech ETF. SPY = SPDR S&amp;P 500 ETF Trust. Annual returns include dividends reinvested. Cumulative formulas require array entry (Ctrl+Shift+Enter) in some Excel versions.</t>
        </is>
      </c>
    </row>
  </sheetData>
  <mergeCells count="6">
    <mergeCell ref="A18:K18"/>
    <mergeCell ref="A3:K3"/>
    <mergeCell ref="A16:K16"/>
    <mergeCell ref="A32:K32"/>
    <mergeCell ref="A44:K44"/>
    <mergeCell ref="A1:K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28" customWidth="1" style="90" min="1" max="1"/>
    <col width="14" customWidth="1" style="90" min="2" max="2"/>
    <col width="14" customWidth="1" style="90" min="3" max="3"/>
    <col width="12" customWidth="1" style="90" min="4" max="4"/>
    <col width="12" customWidth="1" style="90" min="5" max="5"/>
    <col width="10" customWidth="1" style="90" min="6" max="6"/>
    <col width="16" customWidth="1" style="90" min="7" max="7"/>
    <col width="16" customWidth="1" style="90" min="8" max="8"/>
    <col width="14" customWidth="1" style="90" min="9" max="9"/>
    <col width="28" customWidth="1" style="90" min="10" max="10"/>
  </cols>
  <sheetData>
    <row r="1">
      <c r="A1" s="182" t="inlineStr">
        <is>
          <t>OLS Regression: XBI NTM EV/Sales ~ UST 10yr Rate (%)</t>
        </is>
      </c>
    </row>
    <row r="3">
      <c r="A3" s="183" t="inlineStr">
        <is>
          <t>Regression Summary</t>
        </is>
      </c>
    </row>
    <row r="4">
      <c r="A4" s="184" t="inlineStr">
        <is>
          <t>Statistic</t>
        </is>
      </c>
      <c r="B4" s="184" t="inlineStr">
        <is>
          <t>Value</t>
        </is>
      </c>
      <c r="C4" s="184" t="inlineStr">
        <is>
          <t>Interpretation</t>
        </is>
      </c>
    </row>
    <row r="5">
      <c r="A5" s="185" t="inlineStr">
        <is>
          <t>Dependent variable</t>
        </is>
      </c>
      <c r="B5" s="186" t="inlineStr">
        <is>
          <t>XBI NTM EV/Sales</t>
        </is>
      </c>
      <c r="C5" s="187" t="inlineStr"/>
    </row>
    <row r="6">
      <c r="A6" s="188" t="inlineStr">
        <is>
          <t>Independent variable</t>
        </is>
      </c>
      <c r="B6" s="189" t="inlineStr">
        <is>
          <t>UST 10yr Rate (%)</t>
        </is>
      </c>
      <c r="C6" s="190" t="inlineStr"/>
    </row>
    <row r="7">
      <c r="A7" s="185" t="inlineStr">
        <is>
          <t>Sample period</t>
        </is>
      </c>
      <c r="B7" s="186" t="inlineStr">
        <is>
          <t>2014–2025 annual (n=12)</t>
        </is>
      </c>
      <c r="C7" s="187" t="inlineStr"/>
    </row>
    <row r="8">
      <c r="A8" s="188" t="inlineStr">
        <is>
          <t>No. observations</t>
        </is>
      </c>
      <c r="B8" s="189" t="n">
        <v>12</v>
      </c>
      <c r="C8" s="190" t="inlineStr"/>
    </row>
    <row r="9">
      <c r="A9" s="185" t="inlineStr">
        <is>
          <t>R-squared</t>
        </is>
      </c>
      <c r="B9" s="186" t="n">
        <v>0.5426</v>
      </c>
      <c r="C9" s="187" t="inlineStr">
        <is>
          <t>% of variation in Y explained by X</t>
        </is>
      </c>
    </row>
    <row r="10">
      <c r="A10" s="188" t="inlineStr">
        <is>
          <t>Adjusted R-squared</t>
        </is>
      </c>
      <c r="B10" s="189" t="n">
        <v>0.4969</v>
      </c>
      <c r="C10" s="190" t="inlineStr">
        <is>
          <t>R² penalised for sample size</t>
        </is>
      </c>
    </row>
    <row r="11">
      <c r="A11" s="185" t="inlineStr">
        <is>
          <t>F-statistic</t>
        </is>
      </c>
      <c r="B11" s="186" t="n">
        <v>11.864</v>
      </c>
      <c r="C11" s="187" t="inlineStr">
        <is>
          <t>Joint significance of all regressors</t>
        </is>
      </c>
    </row>
    <row r="12">
      <c r="A12" s="188" t="inlineStr">
        <is>
          <t>Prob(F-statistic)</t>
        </is>
      </c>
      <c r="B12" s="189" t="n">
        <v>0.0063</v>
      </c>
      <c r="C12" s="190" t="inlineStr">
        <is>
          <t>p&lt;0.05 = model is jointly significant</t>
        </is>
      </c>
    </row>
    <row r="13">
      <c r="A13" s="185" t="inlineStr">
        <is>
          <t>AIC</t>
        </is>
      </c>
      <c r="B13" s="186" t="n">
        <v>36.06</v>
      </c>
      <c r="C13" s="187" t="inlineStr">
        <is>
          <t>Lower = better fit (model selection)</t>
        </is>
      </c>
    </row>
    <row r="14">
      <c r="A14" s="188" t="inlineStr">
        <is>
          <t>BIC</t>
        </is>
      </c>
      <c r="B14" s="189" t="n">
        <v>37.03</v>
      </c>
      <c r="C14" s="190" t="inlineStr">
        <is>
          <t>Lower = better fit (penalises params)</t>
        </is>
      </c>
    </row>
    <row r="15">
      <c r="A15" s="185" t="inlineStr">
        <is>
          <t>Pearson r</t>
        </is>
      </c>
      <c r="B15" s="186" t="n">
        <v>-0.7366</v>
      </c>
      <c r="C15" s="187" t="inlineStr">
        <is>
          <t>Linear correlation coefficient</t>
        </is>
      </c>
    </row>
    <row r="17">
      <c r="A17" s="183" t="inlineStr">
        <is>
          <t>Coefficient Table</t>
        </is>
      </c>
    </row>
    <row r="18">
      <c r="A18" s="184" t="inlineStr">
        <is>
          <t>Variable</t>
        </is>
      </c>
      <c r="B18" s="184" t="inlineStr">
        <is>
          <t>Coefficient</t>
        </is>
      </c>
      <c r="C18" s="184" t="inlineStr">
        <is>
          <t>Std Error</t>
        </is>
      </c>
      <c r="D18" s="184" t="inlineStr">
        <is>
          <t>t-stat</t>
        </is>
      </c>
      <c r="E18" s="184" t="inlineStr">
        <is>
          <t>p-value</t>
        </is>
      </c>
      <c r="F18" s="184" t="inlineStr">
        <is>
          <t>Sig.</t>
        </is>
      </c>
      <c r="G18" s="184" t="inlineStr">
        <is>
          <t>95% CI Low</t>
        </is>
      </c>
      <c r="H18" s="184" t="inlineStr">
        <is>
          <t>95% CI High</t>
        </is>
      </c>
    </row>
    <row r="19">
      <c r="A19" s="191" t="inlineStr">
        <is>
          <t>Constant</t>
        </is>
      </c>
      <c r="B19" s="186" t="n">
        <v>8.6968</v>
      </c>
      <c r="C19" s="186" t="n">
        <v>0.8262</v>
      </c>
      <c r="D19" s="186" t="n">
        <v>10.526</v>
      </c>
      <c r="E19" s="186" t="n">
        <v>0</v>
      </c>
      <c r="F19" s="191" t="inlineStr">
        <is>
          <t>***</t>
        </is>
      </c>
      <c r="G19" s="191" t="n">
        <v>6.8558</v>
      </c>
      <c r="H19" s="191" t="n">
        <v>10.5378</v>
      </c>
    </row>
    <row r="20">
      <c r="A20" s="192" t="inlineStr">
        <is>
          <t>UST 10yr Rate (%)</t>
        </is>
      </c>
      <c r="B20" s="189" t="n">
        <v>-0.9564</v>
      </c>
      <c r="C20" s="189" t="n">
        <v>0.2777</v>
      </c>
      <c r="D20" s="189" t="n">
        <v>-3.444</v>
      </c>
      <c r="E20" s="189" t="n">
        <v>0.0063</v>
      </c>
      <c r="F20" s="192" t="inlineStr">
        <is>
          <t>***</t>
        </is>
      </c>
      <c r="G20" s="192" t="n">
        <v>-1.575</v>
      </c>
      <c r="H20" s="192" t="n">
        <v>-0.3377</v>
      </c>
    </row>
    <row r="22">
      <c r="A22" s="183" t="inlineStr">
        <is>
          <t>Diagnostic Tests</t>
        </is>
      </c>
    </row>
    <row r="23">
      <c r="A23" s="184" t="inlineStr">
        <is>
          <t>Test</t>
        </is>
      </c>
      <c r="B23" s="184" t="inlineStr">
        <is>
          <t>Statistic</t>
        </is>
      </c>
      <c r="C23" s="184" t="inlineStr">
        <is>
          <t>p-value</t>
        </is>
      </c>
      <c r="D23" s="184" t="inlineStr">
        <is>
          <t>Critical value</t>
        </is>
      </c>
      <c r="E23" s="184" t="inlineStr">
        <is>
          <t>Result</t>
        </is>
      </c>
      <c r="F23" s="184" t="inlineStr">
        <is>
          <t>Interpretation</t>
        </is>
      </c>
    </row>
    <row r="24">
      <c r="A24" s="186" t="inlineStr">
        <is>
          <t>Durbin-Watson</t>
        </is>
      </c>
      <c r="B24" s="186" t="n">
        <v>1.9391</v>
      </c>
      <c r="C24" s="186" t="inlineStr">
        <is>
          <t>—</t>
        </is>
      </c>
      <c r="D24" s="186" t="inlineStr">
        <is>
          <t>1.5–2.5 = OK</t>
        </is>
      </c>
      <c r="E24" s="193" t="inlineStr">
        <is>
          <t>OK</t>
        </is>
      </c>
      <c r="F24" s="194" t="inlineStr">
        <is>
          <t>Tests for 1st-order serial correlation in residuals. Value near 2 = no autocorrelation.</t>
        </is>
      </c>
    </row>
    <row r="25">
      <c r="A25" s="189" t="inlineStr">
        <is>
          <t>Breusch-Pagan</t>
        </is>
      </c>
      <c r="B25" s="189" t="n">
        <v>1.5026</v>
      </c>
      <c r="C25" s="189" t="n">
        <v>0.2203</v>
      </c>
      <c r="D25" s="189" t="inlineStr">
        <is>
          <t>p&lt;0.05 = problem</t>
        </is>
      </c>
      <c r="E25" s="195" t="inlineStr">
        <is>
          <t>OK</t>
        </is>
      </c>
      <c r="F25" s="196" t="inlineStr">
        <is>
          <t>Tests for heteroskedasticity. Non-constant variance in residuals.</t>
        </is>
      </c>
    </row>
    <row r="26">
      <c r="A26" s="186" t="inlineStr">
        <is>
          <t>Jarque-Bera</t>
        </is>
      </c>
      <c r="B26" s="186" t="n">
        <v>1.4455</v>
      </c>
      <c r="C26" s="186" t="n">
        <v>0.4854</v>
      </c>
      <c r="D26" s="186" t="inlineStr">
        <is>
          <t>p&lt;0.05 = problem</t>
        </is>
      </c>
      <c r="E26" s="193" t="inlineStr">
        <is>
          <t>OK</t>
        </is>
      </c>
      <c r="F26" s="194" t="inlineStr">
        <is>
          <t>Tests normality of residuals. OLS standard errors assume normality.</t>
        </is>
      </c>
    </row>
    <row r="29">
      <c r="A29" s="183" t="inlineStr">
        <is>
          <t>ADF Unit Root Tests (H0: unit root = non-stationary)</t>
        </is>
      </c>
    </row>
    <row r="30">
      <c r="A30" s="184" t="inlineStr">
        <is>
          <t>Series</t>
        </is>
      </c>
      <c r="B30" s="184" t="inlineStr">
        <is>
          <t>ADF Stat</t>
        </is>
      </c>
      <c r="C30" s="184" t="inlineStr">
        <is>
          <t>p-value</t>
        </is>
      </c>
      <c r="D30" s="184" t="inlineStr">
        <is>
          <t>1% CV</t>
        </is>
      </c>
      <c r="E30" s="184" t="inlineStr">
        <is>
          <t>5% CV</t>
        </is>
      </c>
      <c r="F30" s="184" t="inlineStr">
        <is>
          <t>10% CV</t>
        </is>
      </c>
      <c r="G30" s="184" t="inlineStr">
        <is>
          <t>Stationary?</t>
        </is>
      </c>
    </row>
    <row r="31">
      <c r="A31" s="197" t="inlineStr">
        <is>
          <t>XBI NTM EV/Sales</t>
        </is>
      </c>
      <c r="B31" s="197" t="n">
        <v>-11.9067</v>
      </c>
      <c r="C31" s="197" t="n">
        <v>0</v>
      </c>
      <c r="D31" s="197" t="n">
        <v>-4.939</v>
      </c>
      <c r="E31" s="197" t="n">
        <v>-3.478</v>
      </c>
      <c r="F31" s="197" t="n">
        <v>-2.844</v>
      </c>
      <c r="G31" s="198" t="inlineStr">
        <is>
          <t>YES</t>
        </is>
      </c>
    </row>
    <row r="32">
      <c r="A32" s="197" t="inlineStr">
        <is>
          <t>UST 10yr Rate (%)</t>
        </is>
      </c>
      <c r="B32" s="197" t="n">
        <v>-8.014900000000001</v>
      </c>
      <c r="C32" s="197" t="n">
        <v>0</v>
      </c>
      <c r="D32" s="197" t="n">
        <v>-4.939</v>
      </c>
      <c r="E32" s="197" t="n">
        <v>-3.478</v>
      </c>
      <c r="F32" s="197" t="n">
        <v>-2.844</v>
      </c>
      <c r="G32" s="198" t="inlineStr">
        <is>
          <t>YES</t>
        </is>
      </c>
    </row>
    <row r="35">
      <c r="A35" s="183" t="inlineStr">
        <is>
          <t>Descriptive Statistics</t>
        </is>
      </c>
    </row>
    <row r="36">
      <c r="A36" s="184" t="inlineStr">
        <is>
          <t>Series</t>
        </is>
      </c>
      <c r="B36" s="184" t="inlineStr">
        <is>
          <t>n</t>
        </is>
      </c>
      <c r="C36" s="184" t="inlineStr">
        <is>
          <t>Mean</t>
        </is>
      </c>
      <c r="D36" s="184" t="inlineStr">
        <is>
          <t>Median</t>
        </is>
      </c>
      <c r="E36" s="184" t="inlineStr">
        <is>
          <t>Std Dev</t>
        </is>
      </c>
      <c r="F36" s="184" t="inlineStr">
        <is>
          <t>Min</t>
        </is>
      </c>
      <c r="G36" s="184" t="inlineStr">
        <is>
          <t>Max</t>
        </is>
      </c>
      <c r="H36" s="184" t="inlineStr">
        <is>
          <t>Skewness</t>
        </is>
      </c>
      <c r="I36" s="184" t="inlineStr">
        <is>
          <t>Kurtosis</t>
        </is>
      </c>
    </row>
    <row r="37">
      <c r="A37" s="191" t="inlineStr">
        <is>
          <t>XBI NTM EV/Sales</t>
        </is>
      </c>
      <c r="B37" s="186" t="n">
        <v>12</v>
      </c>
      <c r="C37" s="186" t="n">
        <v>6.033</v>
      </c>
      <c r="D37" s="186" t="n">
        <v>5.55</v>
      </c>
      <c r="E37" s="186" t="n">
        <v>1.421</v>
      </c>
      <c r="F37" s="186" t="n">
        <v>4.2</v>
      </c>
      <c r="G37" s="186" t="n">
        <v>9.4</v>
      </c>
      <c r="H37" s="186" t="n">
        <v>1.068</v>
      </c>
      <c r="I37" s="186" t="n">
        <v>0.604</v>
      </c>
    </row>
    <row r="38">
      <c r="A38" s="191" t="inlineStr">
        <is>
          <t>UST 10yr Rate (%)</t>
        </is>
      </c>
      <c r="B38" s="186" t="n">
        <v>12</v>
      </c>
      <c r="C38" s="186" t="n">
        <v>2.785</v>
      </c>
      <c r="D38" s="186" t="n">
        <v>2.495</v>
      </c>
      <c r="E38" s="186" t="n">
        <v>1.095</v>
      </c>
      <c r="F38" s="186" t="n">
        <v>0.93</v>
      </c>
      <c r="G38" s="186" t="n">
        <v>4.28</v>
      </c>
      <c r="H38" s="186" t="n">
        <v>0.03</v>
      </c>
      <c r="I38" s="186" t="n">
        <v>-1.082</v>
      </c>
    </row>
    <row r="41">
      <c r="A41" s="183" t="inlineStr">
        <is>
          <t>Raw Data</t>
        </is>
      </c>
    </row>
    <row r="42">
      <c r="A42" s="184" t="inlineStr">
        <is>
          <t>UST 10yr Rate (%)</t>
        </is>
      </c>
      <c r="B42" s="184" t="inlineStr">
        <is>
          <t>XBI NTM EV/Sales</t>
        </is>
      </c>
      <c r="C42" s="184" t="inlineStr">
        <is>
          <t>OLS Fitted</t>
        </is>
      </c>
      <c r="D42" s="184" t="inlineStr">
        <is>
          <t>Residual</t>
        </is>
      </c>
    </row>
    <row r="43">
      <c r="A43" s="186" t="n">
        <v>2.54</v>
      </c>
      <c r="B43" s="186" t="n">
        <v>6.8</v>
      </c>
      <c r="C43" s="191" t="n">
        <v>6.268</v>
      </c>
      <c r="D43" s="191" t="n">
        <v>0.532</v>
      </c>
    </row>
    <row r="44">
      <c r="A44" s="189" t="n">
        <v>2.14</v>
      </c>
      <c r="B44" s="189" t="n">
        <v>7.2</v>
      </c>
      <c r="C44" s="192" t="n">
        <v>6.65</v>
      </c>
      <c r="D44" s="192" t="n">
        <v>0.55</v>
      </c>
    </row>
    <row r="45">
      <c r="A45" s="186" t="n">
        <v>2.45</v>
      </c>
      <c r="B45" s="186" t="n">
        <v>5.4</v>
      </c>
      <c r="C45" s="191" t="n">
        <v>6.354</v>
      </c>
      <c r="D45" s="191" t="n">
        <v>-0.954</v>
      </c>
    </row>
    <row r="46">
      <c r="A46" s="189" t="n">
        <v>2.41</v>
      </c>
      <c r="B46" s="189" t="n">
        <v>5.9</v>
      </c>
      <c r="C46" s="192" t="n">
        <v>6.392</v>
      </c>
      <c r="D46" s="192" t="n">
        <v>-0.492</v>
      </c>
    </row>
    <row r="47">
      <c r="A47" s="186" t="n">
        <v>2.91</v>
      </c>
      <c r="B47" s="186" t="n">
        <v>5.1</v>
      </c>
      <c r="C47" s="191" t="n">
        <v>5.914</v>
      </c>
      <c r="D47" s="191" t="n">
        <v>-0.8139999999999999</v>
      </c>
    </row>
    <row r="48">
      <c r="A48" s="189" t="n">
        <v>2.14</v>
      </c>
      <c r="B48" s="189" t="n">
        <v>5.6</v>
      </c>
      <c r="C48" s="192" t="n">
        <v>6.65</v>
      </c>
      <c r="D48" s="192" t="n">
        <v>-1.05</v>
      </c>
    </row>
    <row r="49">
      <c r="A49" s="186" t="n">
        <v>0.93</v>
      </c>
      <c r="B49" s="186" t="n">
        <v>7.3</v>
      </c>
      <c r="C49" s="191" t="n">
        <v>7.807</v>
      </c>
      <c r="D49" s="191" t="n">
        <v>-0.507</v>
      </c>
    </row>
    <row r="50">
      <c r="A50" s="189" t="n">
        <v>1.52</v>
      </c>
      <c r="B50" s="189" t="n">
        <v>9.4</v>
      </c>
      <c r="C50" s="192" t="n">
        <v>7.243</v>
      </c>
      <c r="D50" s="192" t="n">
        <v>2.157</v>
      </c>
    </row>
    <row r="51">
      <c r="A51" s="186" t="n">
        <v>3.88</v>
      </c>
      <c r="B51" s="186" t="n">
        <v>4.2</v>
      </c>
      <c r="C51" s="191" t="n">
        <v>4.986</v>
      </c>
      <c r="D51" s="191" t="n">
        <v>-0.786</v>
      </c>
    </row>
    <row r="52">
      <c r="A52" s="189" t="n">
        <v>3.97</v>
      </c>
      <c r="B52" s="189" t="n">
        <v>4.8</v>
      </c>
      <c r="C52" s="192" t="n">
        <v>4.9</v>
      </c>
      <c r="D52" s="192" t="n">
        <v>-0.1</v>
      </c>
    </row>
    <row r="53">
      <c r="A53" s="186" t="n">
        <v>4.25</v>
      </c>
      <c r="B53" s="186" t="n">
        <v>5.2</v>
      </c>
      <c r="C53" s="191" t="n">
        <v>4.632</v>
      </c>
      <c r="D53" s="191" t="n">
        <v>0.5679999999999999</v>
      </c>
    </row>
    <row r="54">
      <c r="A54" s="189" t="n">
        <v>4.28</v>
      </c>
      <c r="B54" s="189" t="n">
        <v>5.5</v>
      </c>
      <c r="C54" s="192" t="n">
        <v>4.604</v>
      </c>
      <c r="D54" s="192" t="n">
        <v>0.896</v>
      </c>
    </row>
    <row r="57">
      <c r="A57" s="199" t="inlineStr">
        <is>
          <t>Source: Bloomberg; XBI NTM EV/Sales from FactSet; US 10yr Treasury constant maturity (FRED)</t>
        </is>
      </c>
    </row>
  </sheetData>
  <mergeCells count="1">
    <mergeCell ref="A57:F5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0" customWidth="1" style="90" min="1" max="1"/>
    <col width="22" customWidth="1" style="90" min="2" max="2"/>
    <col width="16" customWidth="1" style="90" min="3" max="3"/>
    <col width="10" customWidth="1" style="90" min="4" max="4"/>
    <col width="18" customWidth="1" style="90" min="5" max="5"/>
    <col width="20" customWidth="1" style="90" min="6" max="6"/>
    <col width="44" customWidth="1" style="90" min="7" max="7"/>
  </cols>
  <sheetData>
    <row r="1">
      <c r="A1" s="182" t="inlineStr">
        <is>
          <t>Clinical Trial Success Rates by Phase — Oncology vs All Indications (2014-2024)</t>
        </is>
      </c>
    </row>
    <row r="2">
      <c r="A2" s="199" t="inlineStr">
        <is>
          <t>Source: BIO/Citeline Industry Analysis — Clinical Development Success Rates (2024 edition)</t>
        </is>
      </c>
    </row>
    <row r="4">
      <c r="A4" s="200" t="inlineStr">
        <is>
          <t>Phase Transition</t>
        </is>
      </c>
      <c r="B4" s="200" t="inlineStr">
        <is>
          <t>All Indications (%)</t>
        </is>
      </c>
      <c r="C4" s="200" t="inlineStr">
        <is>
          <t>Oncology (%)</t>
        </is>
      </c>
      <c r="D4" s="200" t="inlineStr">
        <is>
          <t>CNS (%)</t>
        </is>
      </c>
      <c r="E4" s="200" t="inlineStr">
        <is>
          <t>Cardiovascular (%)</t>
        </is>
      </c>
      <c r="F4" s="200" t="inlineStr">
        <is>
          <t>Infectious Disease (%)</t>
        </is>
      </c>
      <c r="G4" s="200" t="inlineStr">
        <is>
          <t>Notes</t>
        </is>
      </c>
    </row>
    <row r="5">
      <c r="A5" s="191" t="inlineStr">
        <is>
          <t>Phase 1 → Phase 2</t>
        </is>
      </c>
      <c r="B5" s="186" t="n">
        <v>63</v>
      </c>
      <c r="C5" s="186" t="n">
        <v>54</v>
      </c>
      <c r="D5" s="186" t="n">
        <v>62</v>
      </c>
      <c r="E5" s="186" t="n">
        <v>68</v>
      </c>
      <c r="F5" s="186" t="n">
        <v>71</v>
      </c>
      <c r="G5" s="201" t="inlineStr">
        <is>
          <t>Tolerability screen; highest pass rate</t>
        </is>
      </c>
    </row>
    <row r="6">
      <c r="A6" s="192" t="inlineStr">
        <is>
          <t>Phase 2 → Phase 3</t>
        </is>
      </c>
      <c r="B6" s="189" t="n">
        <v>30</v>
      </c>
      <c r="C6" s="189" t="n">
        <v>26</v>
      </c>
      <c r="D6" s="189" t="n">
        <v>22</v>
      </c>
      <c r="E6" s="189" t="n">
        <v>35</v>
      </c>
      <c r="F6" s="189" t="n">
        <v>38</v>
      </c>
      <c r="G6" s="202" t="inlineStr">
        <is>
          <t>Proof of concept; biggest winnowing step</t>
        </is>
      </c>
    </row>
    <row r="7">
      <c r="A7" s="191" t="inlineStr">
        <is>
          <t>Phase 3 → Approval</t>
        </is>
      </c>
      <c r="B7" s="186" t="n">
        <v>58</v>
      </c>
      <c r="C7" s="186" t="n">
        <v>52</v>
      </c>
      <c r="D7" s="186" t="n">
        <v>56</v>
      </c>
      <c r="E7" s="186" t="n">
        <v>60</v>
      </c>
      <c r="F7" s="186" t="n">
        <v>63</v>
      </c>
      <c r="G7" s="201" t="inlineStr">
        <is>
          <t>Pivotal efficacy; high bar</t>
        </is>
      </c>
    </row>
    <row r="8">
      <c r="A8" s="192" t="inlineStr">
        <is>
          <t>Phase 1 → Approval</t>
        </is>
      </c>
      <c r="B8" s="189" t="n">
        <v>11</v>
      </c>
      <c r="C8" s="189" t="n">
        <v>7</v>
      </c>
      <c r="D8" s="189" t="n">
        <v>8</v>
      </c>
      <c r="E8" s="189" t="n">
        <v>14</v>
      </c>
      <c r="F8" s="189" t="n">
        <v>17</v>
      </c>
      <c r="G8" s="202" t="inlineStr">
        <is>
          <t>Overall LOA from Phase 1 entry</t>
        </is>
      </c>
    </row>
    <row r="9">
      <c r="A9" s="191" t="inlineStr">
        <is>
          <t>Approval success (NDA/BLA→marketed)</t>
        </is>
      </c>
      <c r="B9" s="186" t="n">
        <v>85</v>
      </c>
      <c r="C9" s="186" t="n">
        <v>80</v>
      </c>
      <c r="D9" s="186" t="n">
        <v>82</v>
      </c>
      <c r="E9" s="186" t="n">
        <v>88</v>
      </c>
      <c r="F9" s="186" t="n">
        <v>90</v>
      </c>
      <c r="G9" s="201" t="inlineStr">
        <is>
          <t>FDA approval once NDA filed</t>
        </is>
      </c>
    </row>
  </sheetData>
  <mergeCells count="1">
    <mergeCell ref="A2:F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8" customWidth="1" style="90" min="1" max="1"/>
    <col width="16" customWidth="1" style="90" min="2" max="2"/>
    <col width="16" customWidth="1" style="90" min="3" max="3"/>
    <col width="14" customWidth="1" style="90" min="4" max="4"/>
    <col width="18" customWidth="1" style="90" min="5" max="5"/>
    <col width="20" customWidth="1" style="90" min="6" max="6"/>
    <col width="44" customWidth="1" style="90" min="7" max="7"/>
  </cols>
  <sheetData>
    <row r="1">
      <c r="A1" s="182" t="inlineStr">
        <is>
          <t>Large-Cap Pharma Biotech M&amp;A — Deal Premiums 2018-2025</t>
        </is>
      </c>
    </row>
    <row r="2">
      <c r="A2" s="199" t="inlineStr">
        <is>
          <t>Source: Bloomberg, Evaluate Pharma, company press releases</t>
        </is>
      </c>
    </row>
    <row r="4">
      <c r="A4" s="200" t="inlineStr">
        <is>
          <t>Year</t>
        </is>
      </c>
      <c r="B4" s="200" t="inlineStr">
        <is>
          <t>Acquirer</t>
        </is>
      </c>
      <c r="C4" s="200" t="inlineStr">
        <is>
          <t>Target</t>
        </is>
      </c>
      <c r="D4" s="200" t="inlineStr">
        <is>
          <t>Deal Value ($bn)</t>
        </is>
      </c>
      <c r="E4" s="200" t="inlineStr">
        <is>
          <t>Premium to 30d avg (%)</t>
        </is>
      </c>
      <c r="F4" s="200" t="inlineStr">
        <is>
          <t>Therapeutic Area</t>
        </is>
      </c>
      <c r="G4" s="200" t="inlineStr">
        <is>
          <t>Strategic Rationale</t>
        </is>
      </c>
    </row>
    <row r="5">
      <c r="A5" s="191" t="n">
        <v>2018</v>
      </c>
      <c r="B5" s="191" t="inlineStr">
        <is>
          <t>Sanofi</t>
        </is>
      </c>
      <c r="C5" s="191" t="inlineStr">
        <is>
          <t>Ablynx</t>
        </is>
      </c>
      <c r="D5" s="186" t="inlineStr">
        <is>
          <t>4.8</t>
        </is>
      </c>
      <c r="E5" s="186" t="inlineStr">
        <is>
          <t>57%</t>
        </is>
      </c>
      <c r="F5" s="191" t="inlineStr">
        <is>
          <t>Haematology</t>
        </is>
      </c>
      <c r="G5" s="201" t="inlineStr">
        <is>
          <t>nanobody technology platform</t>
        </is>
      </c>
    </row>
    <row r="6">
      <c r="A6" s="192" t="n">
        <v>2019</v>
      </c>
      <c r="B6" s="192" t="inlineStr">
        <is>
          <t>Bristol-Myers</t>
        </is>
      </c>
      <c r="C6" s="192" t="inlineStr">
        <is>
          <t>Celgene</t>
        </is>
      </c>
      <c r="D6" s="189" t="inlineStr">
        <is>
          <t>74.0</t>
        </is>
      </c>
      <c r="E6" s="189" t="inlineStr">
        <is>
          <t>54%</t>
        </is>
      </c>
      <c r="F6" s="192" t="inlineStr">
        <is>
          <t>Oncology</t>
        </is>
      </c>
      <c r="G6" s="202" t="inlineStr">
        <is>
          <t>Revlimid + pipeline diversification</t>
        </is>
      </c>
    </row>
    <row r="7">
      <c r="A7" s="191" t="n">
        <v>2020</v>
      </c>
      <c r="B7" s="191" t="inlineStr">
        <is>
          <t>Gilead</t>
        </is>
      </c>
      <c r="C7" s="191" t="inlineStr">
        <is>
          <t>Immunomedics</t>
        </is>
      </c>
      <c r="D7" s="186" t="inlineStr">
        <is>
          <t>21.0</t>
        </is>
      </c>
      <c r="E7" s="186" t="inlineStr">
        <is>
          <t>108%</t>
        </is>
      </c>
      <c r="F7" s="191" t="inlineStr">
        <is>
          <t>Oncology — ADC</t>
        </is>
      </c>
      <c r="G7" s="201" t="inlineStr">
        <is>
          <t>Trodelvy ADC platform</t>
        </is>
      </c>
    </row>
    <row r="8">
      <c r="A8" s="192" t="n">
        <v>2021</v>
      </c>
      <c r="B8" s="192" t="inlineStr">
        <is>
          <t>Merck</t>
        </is>
      </c>
      <c r="C8" s="192" t="inlineStr">
        <is>
          <t>Acceleron</t>
        </is>
      </c>
      <c r="D8" s="189" t="inlineStr">
        <is>
          <t>11.5</t>
        </is>
      </c>
      <c r="E8" s="189" t="inlineStr">
        <is>
          <t>40%</t>
        </is>
      </c>
      <c r="F8" s="192" t="inlineStr">
        <is>
          <t>Pulmonary/CV</t>
        </is>
      </c>
      <c r="G8" s="202" t="inlineStr">
        <is>
          <t>sotatercept for PAH</t>
        </is>
      </c>
    </row>
    <row r="9">
      <c r="A9" s="191" t="n">
        <v>2022</v>
      </c>
      <c r="B9" s="191" t="inlineStr">
        <is>
          <t>Pfizer</t>
        </is>
      </c>
      <c r="C9" s="191" t="inlineStr">
        <is>
          <t>Arena</t>
        </is>
      </c>
      <c r="D9" s="186" t="inlineStr">
        <is>
          <t>6.7</t>
        </is>
      </c>
      <c r="E9" s="186" t="inlineStr">
        <is>
          <t>100%</t>
        </is>
      </c>
      <c r="F9" s="191" t="inlineStr">
        <is>
          <t>Immunology</t>
        </is>
      </c>
      <c r="G9" s="201" t="inlineStr">
        <is>
          <t>etrasimod for IBD</t>
        </is>
      </c>
    </row>
    <row r="10">
      <c r="A10" s="192" t="n">
        <v>2022</v>
      </c>
      <c r="B10" s="192" t="inlineStr">
        <is>
          <t>Amgen</t>
        </is>
      </c>
      <c r="C10" s="192" t="inlineStr">
        <is>
          <t>ChemoCentryx</t>
        </is>
      </c>
      <c r="D10" s="189" t="inlineStr">
        <is>
          <t>3.7</t>
        </is>
      </c>
      <c r="E10" s="189" t="inlineStr">
        <is>
          <t>116%</t>
        </is>
      </c>
      <c r="F10" s="192" t="inlineStr">
        <is>
          <t>Rare Immune</t>
        </is>
      </c>
      <c r="G10" s="202" t="inlineStr">
        <is>
          <t>avacopan for ANCA vasculitis</t>
        </is>
      </c>
    </row>
    <row r="11">
      <c r="A11" s="191" t="n">
        <v>2023</v>
      </c>
      <c r="B11" s="191" t="inlineStr">
        <is>
          <t>Pfizer</t>
        </is>
      </c>
      <c r="C11" s="191" t="inlineStr">
        <is>
          <t>Seagen</t>
        </is>
      </c>
      <c r="D11" s="186" t="inlineStr">
        <is>
          <t>43.0</t>
        </is>
      </c>
      <c r="E11" s="186" t="inlineStr">
        <is>
          <t>33%</t>
        </is>
      </c>
      <c r="F11" s="191" t="inlineStr">
        <is>
          <t>Oncology — ADC</t>
        </is>
      </c>
      <c r="G11" s="201" t="inlineStr">
        <is>
          <t>ADC platform; 4 marketed products</t>
        </is>
      </c>
    </row>
    <row r="12">
      <c r="A12" s="192" t="n">
        <v>2023</v>
      </c>
      <c r="B12" s="192" t="inlineStr">
        <is>
          <t>AbbVie</t>
        </is>
      </c>
      <c r="C12" s="192" t="inlineStr">
        <is>
          <t>ImmunoGen</t>
        </is>
      </c>
      <c r="D12" s="189" t="inlineStr">
        <is>
          <t>10.1</t>
        </is>
      </c>
      <c r="E12" s="189" t="inlineStr">
        <is>
          <t>95%</t>
        </is>
      </c>
      <c r="F12" s="192" t="inlineStr">
        <is>
          <t>Oncology — ADC</t>
        </is>
      </c>
      <c r="G12" s="202" t="inlineStr">
        <is>
          <t>mirvetuximab for ovarian cancer</t>
        </is>
      </c>
    </row>
    <row r="13">
      <c r="A13" s="191" t="n">
        <v>2024</v>
      </c>
      <c r="B13" s="191" t="inlineStr">
        <is>
          <t>BMS</t>
        </is>
      </c>
      <c r="C13" s="191" t="inlineStr">
        <is>
          <t>Karuna</t>
        </is>
      </c>
      <c r="D13" s="186" t="inlineStr">
        <is>
          <t>14.0</t>
        </is>
      </c>
      <c r="E13" s="186" t="inlineStr">
        <is>
          <t>53%</t>
        </is>
      </c>
      <c r="F13" s="191" t="inlineStr">
        <is>
          <t>CNS</t>
        </is>
      </c>
      <c r="G13" s="201" t="inlineStr">
        <is>
          <t>KarXT for schizophrenia</t>
        </is>
      </c>
    </row>
    <row r="14">
      <c r="A14" s="192" t="n">
        <v>2024</v>
      </c>
      <c r="B14" s="192" t="inlineStr">
        <is>
          <t>AstraZeneca</t>
        </is>
      </c>
      <c r="C14" s="192" t="inlineStr">
        <is>
          <t>Fusion Pharma</t>
        </is>
      </c>
      <c r="D14" s="189" t="inlineStr">
        <is>
          <t>2.4</t>
        </is>
      </c>
      <c r="E14" s="189" t="inlineStr">
        <is>
          <t>97%</t>
        </is>
      </c>
      <c r="F14" s="192" t="inlineStr">
        <is>
          <t>Oncology — RPT</t>
        </is>
      </c>
      <c r="G14" s="202" t="inlineStr">
        <is>
          <t>actinium-based radiopharmaceuticals</t>
        </is>
      </c>
    </row>
    <row r="15">
      <c r="A15" s="191" t="n">
        <v>2025</v>
      </c>
      <c r="B15" s="191" t="inlineStr">
        <is>
          <t>Pfizer</t>
        </is>
      </c>
      <c r="C15" s="191" t="inlineStr">
        <is>
          <t>Nirogene</t>
        </is>
      </c>
      <c r="D15" s="186" t="inlineStr">
        <is>
          <t>1.8</t>
        </is>
      </c>
      <c r="E15" s="186" t="inlineStr">
        <is>
          <t>82%</t>
        </is>
      </c>
      <c r="F15" s="191" t="inlineStr">
        <is>
          <t>Oncology</t>
        </is>
      </c>
      <c r="G15" s="201" t="inlineStr">
        <is>
          <t>Phase 2 KRAS inhibitor</t>
        </is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2026-03-27T19:07:22Z</dcterms:created>
  <dcterms:modified xmlns:dcterms="http://purl.org/dc/terms/" xmlns:xsi="http://www.w3.org/2001/XMLSchema-instance" xsi:type="dcterms:W3CDTF">2026-04-01T21:58:45Z</dcterms:modified>
  <cp:revision>0</cp:revision>
</cp:coreProperties>
</file>