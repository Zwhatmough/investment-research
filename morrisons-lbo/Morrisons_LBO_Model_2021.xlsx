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Sources &amp; Uses" sheetId="2" state="visible" r:id="rId4"/>
    <sheet name="Operating Model" sheetId="3" state="visible" r:id="rId5"/>
    <sheet name="Debt Schedule" sheetId="4" state="visible" r:id="rId6"/>
    <sheet name="Returns" sheetId="5" state="visible" r:id="rId7"/>
    <sheet name="Sensitivity" sheetId="6" state="visible" r:id="rId8"/>
    <sheet name="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<sst xmlns="http://schemas.openxmlformats.org/spreadsheetml/2006/main" count="212" uniqueCount="166">
  <si>
    <t xml:space="preserve">Morrisons LBO Model — CD&amp;R Take-Private (2021)</t>
  </si>
  <si>
    <t xml:space="preserve">DEAL OVERVIEW</t>
  </si>
  <si>
    <t xml:space="preserve">OPERATING MODEL ASSUMPTIONS</t>
  </si>
  <si>
    <t xml:space="preserve">Target</t>
  </si>
  <si>
    <t xml:space="preserve">Wm Morrison Supermarkets plc</t>
  </si>
  <si>
    <t xml:space="preserve">Revenue Growth — Year 1</t>
  </si>
  <si>
    <t xml:space="preserve">Acquirer / Sponsor</t>
  </si>
  <si>
    <t xml:space="preserve">Clayton, Dubilier &amp; Rice (CD&amp;R)</t>
  </si>
  <si>
    <t xml:space="preserve">Revenue Growth — Year 2</t>
  </si>
  <si>
    <t xml:space="preserve">Sector</t>
  </si>
  <si>
    <t xml:space="preserve">UK Grocery Retail (Consumer Staples)</t>
  </si>
  <si>
    <t xml:space="preserve">Revenue Growth — Year 3</t>
  </si>
  <si>
    <t xml:space="preserve">Announcement Date</t>
  </si>
  <si>
    <t xml:space="preserve">August 2021</t>
  </si>
  <si>
    <t xml:space="preserve">Revenue Growth — Year 4</t>
  </si>
  <si>
    <t xml:space="preserve">Completion Date</t>
  </si>
  <si>
    <t xml:space="preserve">October 2021</t>
  </si>
  <si>
    <t xml:space="preserve">Revenue Growth — Year 5</t>
  </si>
  <si>
    <t xml:space="preserve">Offer Price (p/share)</t>
  </si>
  <si>
    <t xml:space="preserve">Fully Diluted Shares (m)</t>
  </si>
  <si>
    <t xml:space="preserve">MARGIN ASSUMPTIONS</t>
  </si>
  <si>
    <t xml:space="preserve">Pre-Bid Share Price (p)</t>
  </si>
  <si>
    <t xml:space="preserve">EBITDA Margin — Year 1</t>
  </si>
  <si>
    <t xml:space="preserve">Premium to Undisturbed Price</t>
  </si>
  <si>
    <t xml:space="preserve">EBITDA Margin — Year 2</t>
  </si>
  <si>
    <t xml:space="preserve">EBITDA Margin — Year 3</t>
  </si>
  <si>
    <t xml:space="preserve">ENTRY VALUATION (£m)</t>
  </si>
  <si>
    <t xml:space="preserve">EBITDA Margin — Year 4</t>
  </si>
  <si>
    <t xml:space="preserve">Equity Value (Offer)</t>
  </si>
  <si>
    <t xml:space="preserve">EBITDA Margin — Year 5</t>
  </si>
  <si>
    <t xml:space="preserve">Plus: Net Debt (Pre-Deal)</t>
  </si>
  <si>
    <t xml:space="preserve">Plus: Pension Deficit</t>
  </si>
  <si>
    <t xml:space="preserve">OTHER ASSUMPTIONS</t>
  </si>
  <si>
    <t xml:space="preserve">Enterprise Value</t>
  </si>
  <si>
    <t xml:space="preserve">D&amp;A (% of Revenue)</t>
  </si>
  <si>
    <t xml:space="preserve">Capex (% of Revenue)</t>
  </si>
  <si>
    <t xml:space="preserve">LTM FINANCIALS (FY21, £m)</t>
  </si>
  <si>
    <t xml:space="preserve">Change in NWC (% of ΔRevenue)</t>
  </si>
  <si>
    <t xml:space="preserve">Revenue</t>
  </si>
  <si>
    <t xml:space="preserve">Tax Rate</t>
  </si>
  <si>
    <t xml:space="preserve">EBITDA</t>
  </si>
  <si>
    <t xml:space="preserve">Hold Period (Years)</t>
  </si>
  <si>
    <t xml:space="preserve">EBITDA Margin</t>
  </si>
  <si>
    <t xml:space="preserve">D&amp;A</t>
  </si>
  <si>
    <t xml:space="preserve">EXIT ASSUMPTIONS</t>
  </si>
  <si>
    <t xml:space="preserve">EBIT</t>
  </si>
  <si>
    <t xml:space="preserve">Exit EV/EBITDA Multiple — Base</t>
  </si>
  <si>
    <t xml:space="preserve">Exit EV/EBITDA Multiple — Upside</t>
  </si>
  <si>
    <t xml:space="preserve">Exit EV/EBITDA Multiple — Downside</t>
  </si>
  <si>
    <t xml:space="preserve">ENTRY MULTIPLES</t>
  </si>
  <si>
    <t xml:space="preserve">EV / LTM Revenue</t>
  </si>
  <si>
    <t xml:space="preserve">EV / LTM EBITDA</t>
  </si>
  <si>
    <t xml:space="preserve">Sources &amp; Uses of Funds (£m)</t>
  </si>
  <si>
    <t xml:space="preserve">Sources</t>
  </si>
  <si>
    <t xml:space="preserve">£m</t>
  </si>
  <si>
    <t xml:space="preserve">% of Total</t>
  </si>
  <si>
    <t xml:space="preserve">Uses</t>
  </si>
  <si>
    <t xml:space="preserve">Senior Secured Term Loan B</t>
  </si>
  <si>
    <t xml:space="preserve">Senior Secured Notes</t>
  </si>
  <si>
    <t xml:space="preserve">Refinance Existing Net Debt</t>
  </si>
  <si>
    <t xml:space="preserve">Senior Unsecured Notes</t>
  </si>
  <si>
    <t xml:space="preserve">Pension Deficit Assumed</t>
  </si>
  <si>
    <t xml:space="preserve">Preference Shares (Goldman/Ares)</t>
  </si>
  <si>
    <t xml:space="preserve">Transaction Fees (est.)</t>
  </si>
  <si>
    <t xml:space="preserve">Rollover Equity (Management)</t>
  </si>
  <si>
    <t xml:space="preserve">Financing Fees (est.)</t>
  </si>
  <si>
    <t xml:space="preserve">Sponsor Equity (CD&amp;R)</t>
  </si>
  <si>
    <t xml:space="preserve">Other / Breakage Costs</t>
  </si>
  <si>
    <t xml:space="preserve">Total Sources</t>
  </si>
  <si>
    <t xml:space="preserve">Total Uses</t>
  </si>
  <si>
    <t xml:space="preserve">KEY LEVERAGE METRICS AT ENTRY</t>
  </si>
  <si>
    <t xml:space="preserve">Total Debt / EBITDA</t>
  </si>
  <si>
    <t xml:space="preserve">Senior Debt / EBITDA</t>
  </si>
  <si>
    <t xml:space="preserve">Equity / Total Capitalisation</t>
  </si>
  <si>
    <t xml:space="preserve">Operating Model (£m)</t>
  </si>
  <si>
    <t xml:space="preserve">LTM (FY21)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</si>
  <si>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</si>
  <si>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</si>
  <si>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</si>
  <si>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</si>
  <si>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</si>
  <si>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INCOME STATEMENT</t>
  </si>
  <si>
    <t xml:space="preserve">  Revenue Growth %</t>
  </si>
  <si>
    <t xml:space="preserve">n/a</t>
  </si>
  <si>
    <t xml:space="preserve">  EBITDA Margin</t>
  </si>
  <si>
    <t xml:space="preserve">Depreciation &amp; Amortisation</t>
  </si>
  <si>
    <t xml:space="preserve">  EBIT Margin</t>
  </si>
  <si>
    <t xml:space="preserve">FREE CASH FLOW</t>
  </si>
  <si>
    <t xml:space="preserve">Less: Cash Taxes on EBT</t>
  </si>
  <si>
    <t xml:space="preserve">Less: Capital Expenditure</t>
  </si>
  <si>
    <t xml:space="preserve">Less: Change in NWC</t>
  </si>
  <si>
    <t xml:space="preserve">Unlevered Free Cash Flow</t>
  </si>
  <si>
    <t xml:space="preserve">  UFCF Margin</t>
  </si>
  <si>
    <t xml:space="preserve">Debt Schedule &amp; Cash Sweep (£m)</t>
  </si>
  <si>
    <t xml:space="preserve">Entry</t>
  </si>
  <si>
    <t xml:space="preserve">INTEREST RATE ASSUMPTIONS</t>
  </si>
  <si>
    <t xml:space="preserve">Term Loan B Rate</t>
  </si>
  <si>
    <t xml:space="preserve">Senior Secured Notes Rate</t>
  </si>
  <si>
    <t xml:space="preserve">Senior Unsecured Notes Rate</t>
  </si>
  <si>
    <t xml:space="preserve">Preference Share Coupon (PIK)</t>
  </si>
  <si>
    <t xml:space="preserve">MANDATORY AMORTISATION (% p.a.)</t>
  </si>
  <si>
    <t xml:space="preserve">Term Loan B Amortisation</t>
  </si>
  <si>
    <t xml:space="preserve">Cash Sweep (% of Excess Cash)</t>
  </si>
  <si>
    <t xml:space="preserve">SENIOR SECURED TERM LOAN B</t>
  </si>
  <si>
    <t xml:space="preserve">Beginning Balance</t>
  </si>
  <si>
    <t xml:space="preserve">  Mandatory Amortisation</t>
  </si>
  <si>
    <t xml:space="preserve">  Cash Sweep</t>
  </si>
  <si>
    <t xml:space="preserve">Ending Balance</t>
  </si>
  <si>
    <t xml:space="preserve">  Interest Expense</t>
  </si>
  <si>
    <t xml:space="preserve">SENIOR SECURED NOTES</t>
  </si>
  <si>
    <t xml:space="preserve">SENIOR UNSECURED NOTES</t>
  </si>
  <si>
    <t xml:space="preserve">PREFERENCE SHARES (PIK)</t>
  </si>
  <si>
    <t xml:space="preserve">  PIK Interest Accrual</t>
  </si>
  <si>
    <t xml:space="preserve">TOTAL DEBT SUMMARY</t>
  </si>
  <si>
    <t xml:space="preserve">Total Debt (EOP)</t>
  </si>
  <si>
    <t xml:space="preserve">Total Cash Interest</t>
  </si>
  <si>
    <t xml:space="preserve">LEVERED FREE CASH FLOW</t>
  </si>
  <si>
    <t xml:space="preserve">Less: Cash Interest</t>
  </si>
  <si>
    <t xml:space="preserve">Less: Mandatory Amortisation</t>
  </si>
  <si>
    <t xml:space="preserve">Excess Cash Flow (Pre-Sweep)</t>
  </si>
  <si>
    <t xml:space="preserve">CREDIT METRICS</t>
  </si>
  <si>
    <t xml:space="preserve">Interest Coverage (EBITDA / Cash Int)</t>
  </si>
  <si>
    <t xml:space="preserve">Fixed Charge Coverage</t>
  </si>
  <si>
    <t xml:space="preserve">Debt Service Coverage (UFCF / DS)</t>
  </si>
  <si>
    <t xml:space="preserve">Returns Analysis</t>
  </si>
  <si>
    <t xml:space="preserve">EXIT VALUATION (£m)</t>
  </si>
  <si>
    <t xml:space="preserve">Downside</t>
  </si>
  <si>
    <t xml:space="preserve">Base</t>
  </si>
  <si>
    <t xml:space="preserve">Upside</t>
  </si>
  <si>
    <t xml:space="preserve">Exit EBITDA (Year 5)</t>
  </si>
  <si>
    <t xml:space="preserve">Exit EV/EBITDA Multiple</t>
  </si>
  <si>
    <t xml:space="preserve">Exit Enterprise Value</t>
  </si>
  <si>
    <t xml:space="preserve">Less: Total Debt at Exit</t>
  </si>
  <si>
    <t xml:space="preserve">Exit Equity Value</t>
  </si>
  <si>
    <t xml:space="preserve">RETURNS TO SPONSOR</t>
  </si>
  <si>
    <t xml:space="preserve">Initial Equity Investment</t>
  </si>
  <si>
    <t xml:space="preserve">Multiple of Money (MoM)</t>
  </si>
  <si>
    <t xml:space="preserve">IRR (5-Year Hold)</t>
  </si>
  <si>
    <t xml:space="preserve">VALUE CREATION BRIDGE (BASE CASE, £m)</t>
  </si>
  <si>
    <t xml:space="preserve">Entry Equity</t>
  </si>
  <si>
    <t xml:space="preserve">(+) EBITDA Growth Effect</t>
  </si>
  <si>
    <t xml:space="preserve">(+) Multiple Expansion / (Contraction)</t>
  </si>
  <si>
    <t xml:space="preserve">(+) Debt Paydown</t>
  </si>
  <si>
    <t xml:space="preserve">(+/-) Cross-Effects &amp; Fees</t>
  </si>
  <si>
    <t xml:space="preserve">Exit Equity (Reconciled)</t>
  </si>
  <si>
    <t xml:space="preserve">Check vs. Actual (should = 0)</t>
  </si>
  <si>
    <t xml:space="preserve">IRR CASH FLOW SCHEDULE</t>
  </si>
  <si>
    <t xml:space="preserve">Year 0</t>
  </si>
  <si>
    <t xml:space="preserve">Downside Case</t>
  </si>
  <si>
    <t xml:space="preserve">Base Case</t>
  </si>
  <si>
    <t xml:space="preserve">Upside Case</t>
  </si>
  <si>
    <t xml:space="preserve">IRR (Proper)</t>
  </si>
  <si>
    <t xml:space="preserve">Sensitivity Analysis</t>
  </si>
  <si>
    <t xml:space="preserve">IRR SENSITIVITY: Exit Multiple vs. Year 5 EBITDA Margin</t>
  </si>
  <si>
    <t xml:space="preserve">Yr5 EBITDA Margin ↓</t>
  </si>
  <si>
    <t xml:space="preserve">MoM SENSITIVITY: Exit Multiple vs. Entry Leverage (Debt/EBITDA)</t>
  </si>
  <si>
    <t xml:space="preserve">Entry Leverage ↓</t>
  </si>
  <si>
    <t xml:space="preserve">Model Summary &amp; Key Outputs</t>
  </si>
  <si>
    <t xml:space="preserve">KEY METRICS OVER HOLD PERIOD</t>
  </si>
  <si>
    <t xml:space="preserve">Total Debt</t>
  </si>
  <si>
    <t xml:space="preserve">Unlevered FCF</t>
  </si>
  <si>
    <t xml:space="preserve">RETURNS SUMMARY (BASE CASE)</t>
  </si>
  <si>
    <t xml:space="preserve">Exit Equity (Base)</t>
  </si>
  <si>
    <t xml:space="preserve">MoM</t>
  </si>
  <si>
    <t xml:space="preserve">IRR</t>
  </si>
  <si>
    <t xml:space="preserve">Interest Coverage Ratio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</si>
</sst>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#,##0"/>
    <numFmt numFmtId="167" formatCode="\£#,##0"/>
    <numFmt numFmtId="168" formatCode="0.0\x"/>
    <numFmt numFmtId="169" formatCode="\£#,##0"/>
    <numFmt numFmtId="170" formatCode="#,##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6E4F0"/>
        <bgColor rgb="FFC6EFCE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6E4F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/>
      <bottom style="double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BF4B28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B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5" min="3" style="1" width="18"/>
    <col collapsed="false" customWidth="true" hidden="false" outlineLevel="0" max="6" min="6" style="1" width="5"/>
    <col collapsed="false" customWidth="true" hidden="false" outlineLevel="0" max="7" min="7" style="1" width="38"/>
    <col collapsed="false" customWidth="true" hidden="false" outlineLevel="0" max="8" min="8" style="1" width="18"/>
  </cols>
  <sheetData>
    <row r="1" customFormat="false" ht="17.25" hidden="false" customHeight="true" outlineLevel="0" collapsed="false">
      <c r="B1" s="2" t="s">
        <v>0</v>
      </c>
    </row>
    <row r="3" customFormat="false" ht="15" hidden="false" customHeight="true" outlineLevel="0" collapsed="false">
      <c r="B3" s="3" t="s">
        <v>1</v>
      </c>
      <c r="G3" s="3" t="s">
        <v>2</v>
      </c>
    </row>
    <row r="4" customFormat="false" ht="15" hidden="false" customHeight="true" outlineLevel="0" collapsed="false">
      <c r="B4" s="4" t="s">
        <v>3</v>
      </c>
      <c r="C4" s="5" t="s">
        <v>4</v>
      </c>
      <c r="G4" s="4" t="s">
        <v>5</v>
      </c>
      <c r="H4" s="6" t="n">
        <v>0.025</v>
      </c>
    </row>
    <row r="5" customFormat="false" ht="15" hidden="false" customHeight="true" outlineLevel="0" collapsed="false">
      <c r="B5" s="4" t="s">
        <v>6</v>
      </c>
      <c r="C5" s="5" t="s">
        <v>7</v>
      </c>
      <c r="G5" s="4" t="s">
        <v>8</v>
      </c>
      <c r="H5" s="6" t="n">
        <v>0.03</v>
      </c>
    </row>
    <row r="6" customFormat="false" ht="15" hidden="false" customHeight="true" outlineLevel="0" collapsed="false">
      <c r="B6" s="4" t="s">
        <v>9</v>
      </c>
      <c r="C6" s="5" t="s">
        <v>10</v>
      </c>
      <c r="G6" s="4" t="s">
        <v>11</v>
      </c>
      <c r="H6" s="6" t="n">
        <v>0.03</v>
      </c>
    </row>
    <row r="7" customFormat="false" ht="15" hidden="false" customHeight="true" outlineLevel="0" collapsed="false">
      <c r="B7" s="4" t="s">
        <v>12</v>
      </c>
      <c r="C7" s="5" t="s">
        <v>13</v>
      </c>
      <c r="G7" s="4" t="s">
        <v>14</v>
      </c>
      <c r="H7" s="6" t="n">
        <v>0.025</v>
      </c>
    </row>
    <row r="8" customFormat="false" ht="15" hidden="false" customHeight="true" outlineLevel="0" collapsed="false">
      <c r="B8" s="4" t="s">
        <v>15</v>
      </c>
      <c r="C8" s="5" t="s">
        <v>16</v>
      </c>
      <c r="G8" s="4" t="s">
        <v>17</v>
      </c>
      <c r="H8" s="6" t="n">
        <v>0.02</v>
      </c>
    </row>
    <row r="9" customFormat="false" ht="15" hidden="false" customHeight="true" outlineLevel="0" collapsed="false">
      <c r="B9" s="4" t="s">
        <v>18</v>
      </c>
      <c r="C9" s="7" t="n">
        <v>287</v>
      </c>
    </row>
    <row r="10" customFormat="false" ht="15" hidden="false" customHeight="true" outlineLevel="0" collapsed="false">
      <c r="B10" s="4" t="s">
        <v>19</v>
      </c>
      <c r="C10" s="7" t="n">
        <v>2414</v>
      </c>
      <c r="G10" s="3" t="s">
        <v>20</v>
      </c>
    </row>
    <row r="11" customFormat="false" ht="15" hidden="false" customHeight="true" outlineLevel="0" collapsed="false">
      <c r="B11" s="4" t="s">
        <v>21</v>
      </c>
      <c r="C11" s="7" t="n">
        <v>178</v>
      </c>
      <c r="G11" s="4" t="s">
        <v>22</v>
      </c>
      <c r="H11" s="6" t="n">
        <v>0.062</v>
      </c>
    </row>
    <row r="12" customFormat="false" ht="15" hidden="false" customHeight="true" outlineLevel="0" collapsed="false">
      <c r="B12" s="4" t="s">
        <v>23</v>
      </c>
      <c r="C12" s="6" t="n">
        <v>0.61</v>
      </c>
      <c r="G12" s="4" t="s">
        <v>24</v>
      </c>
      <c r="H12" s="6" t="n">
        <v>0.065</v>
      </c>
    </row>
    <row r="13" customFormat="false" ht="15" hidden="false" customHeight="true" outlineLevel="0" collapsed="false">
      <c r="G13" s="4" t="s">
        <v>25</v>
      </c>
      <c r="H13" s="6" t="n">
        <v>0.068</v>
      </c>
    </row>
    <row r="14" customFormat="false" ht="15" hidden="false" customHeight="true" outlineLevel="0" collapsed="false">
      <c r="B14" s="3" t="s">
        <v>26</v>
      </c>
      <c r="G14" s="4" t="s">
        <v>27</v>
      </c>
      <c r="H14" s="6" t="n">
        <v>0.07</v>
      </c>
    </row>
    <row r="15" customFormat="false" ht="15" hidden="false" customHeight="true" outlineLevel="0" collapsed="false">
      <c r="B15" s="4" t="s">
        <v>28</v>
      </c>
      <c r="C15" s="8" t="n">
        <f aca="false">C9*C10/100</f>
        <v>6928.18</v>
      </c>
      <c r="G15" s="4" t="s">
        <v>29</v>
      </c>
      <c r="H15" s="6" t="n">
        <v>0.072</v>
      </c>
    </row>
    <row r="16" customFormat="false" ht="15" hidden="false" customHeight="true" outlineLevel="0" collapsed="false">
      <c r="B16" s="4" t="s">
        <v>30</v>
      </c>
      <c r="C16" s="9" t="n">
        <v>2600</v>
      </c>
    </row>
    <row r="17" customFormat="false" ht="15" hidden="false" customHeight="true" outlineLevel="0" collapsed="false">
      <c r="B17" s="4" t="s">
        <v>31</v>
      </c>
      <c r="C17" s="9" t="n">
        <v>350</v>
      </c>
      <c r="G17" s="3" t="s">
        <v>32</v>
      </c>
    </row>
    <row r="18" customFormat="false" ht="15" hidden="false" customHeight="true" outlineLevel="0" collapsed="false">
      <c r="B18" s="4" t="s">
        <v>33</v>
      </c>
      <c r="C18" s="10" t="n">
        <f aca="false">SUM(C15:C17)</f>
        <v>9878.18</v>
      </c>
      <c r="G18" s="4" t="s">
        <v>34</v>
      </c>
      <c r="H18" s="6" t="n">
        <v>0.032</v>
      </c>
    </row>
    <row r="19" customFormat="false" ht="15" hidden="false" customHeight="true" outlineLevel="0" collapsed="false">
      <c r="G19" s="4" t="s">
        <v>35</v>
      </c>
      <c r="H19" s="6" t="n">
        <v>0.025</v>
      </c>
    </row>
    <row r="20" customFormat="false" ht="15" hidden="false" customHeight="true" outlineLevel="0" collapsed="false">
      <c r="B20" s="3" t="s">
        <v>36</v>
      </c>
      <c r="G20" s="4" t="s">
        <v>37</v>
      </c>
      <c r="H20" s="6" t="n">
        <v>-0.02</v>
      </c>
    </row>
    <row r="21" customFormat="false" ht="15" hidden="false" customHeight="true" outlineLevel="0" collapsed="false">
      <c r="B21" s="4" t="s">
        <v>38</v>
      </c>
      <c r="C21" s="9" t="n">
        <v>17565</v>
      </c>
      <c r="G21" s="4" t="s">
        <v>39</v>
      </c>
      <c r="H21" s="6" t="n">
        <v>0.25</v>
      </c>
    </row>
    <row r="22" customFormat="false" ht="15" hidden="false" customHeight="true" outlineLevel="0" collapsed="false">
      <c r="B22" s="4" t="s">
        <v>40</v>
      </c>
      <c r="C22" s="9" t="n">
        <v>1078</v>
      </c>
      <c r="G22" s="4" t="s">
        <v>41</v>
      </c>
      <c r="H22" s="7" t="n">
        <v>5</v>
      </c>
    </row>
    <row r="23" customFormat="false" ht="15" hidden="false" customHeight="true" outlineLevel="0" collapsed="false">
      <c r="B23" s="4" t="s">
        <v>42</v>
      </c>
      <c r="C23" s="11" t="n">
        <f aca="false">C22/C21</f>
        <v>0.0613720466837461</v>
      </c>
    </row>
    <row r="24" customFormat="false" ht="15" hidden="false" customHeight="true" outlineLevel="0" collapsed="false">
      <c r="B24" s="4" t="s">
        <v>43</v>
      </c>
      <c r="C24" s="9" t="n">
        <v>565</v>
      </c>
      <c r="G24" s="3" t="s">
        <v>44</v>
      </c>
    </row>
    <row r="25" customFormat="false" ht="15" hidden="false" customHeight="true" outlineLevel="0" collapsed="false">
      <c r="B25" s="4" t="s">
        <v>45</v>
      </c>
      <c r="C25" s="8" t="n">
        <f aca="false">C22-C24</f>
        <v>513</v>
      </c>
      <c r="G25" s="4" t="s">
        <v>46</v>
      </c>
      <c r="H25" s="12" t="n">
        <v>8.5</v>
      </c>
    </row>
    <row r="26" customFormat="false" ht="15" hidden="false" customHeight="true" outlineLevel="0" collapsed="false">
      <c r="B26" s="4" t="s">
        <v>35</v>
      </c>
      <c r="C26" s="6" t="n">
        <v>0.025</v>
      </c>
      <c r="G26" s="4" t="s">
        <v>47</v>
      </c>
      <c r="H26" s="12" t="n">
        <v>9</v>
      </c>
    </row>
    <row r="27" customFormat="false" ht="15" hidden="false" customHeight="true" outlineLevel="0" collapsed="false">
      <c r="B27" s="4" t="s">
        <v>39</v>
      </c>
      <c r="C27" s="6" t="n">
        <v>0.25</v>
      </c>
      <c r="G27" s="4" t="s">
        <v>48</v>
      </c>
      <c r="H27" s="12" t="n">
        <v>7.5</v>
      </c>
    </row>
    <row r="29" customFormat="false" ht="15" hidden="false" customHeight="true" outlineLevel="0" collapsed="false">
      <c r="B29" s="3" t="s">
        <v>49</v>
      </c>
    </row>
    <row r="30" customFormat="false" ht="15" hidden="false" customHeight="true" outlineLevel="0" collapsed="false">
      <c r="B30" s="4" t="s">
        <v>50</v>
      </c>
      <c r="C30" s="13" t="n">
        <f aca="false">C18/C21</f>
        <v>0.562378593794478</v>
      </c>
    </row>
    <row r="31" customFormat="false" ht="15" hidden="false" customHeight="true" outlineLevel="0" collapsed="false">
      <c r="B31" s="4" t="s">
        <v>51</v>
      </c>
      <c r="C31" s="13" t="n">
        <f aca="false">C18/C22</f>
        <v>9.16343228200371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5"/>
    <col collapsed="false" customWidth="true" hidden="false" outlineLevel="0" max="6" min="6" style="1" width="35"/>
    <col collapsed="false" customWidth="true" hidden="false" outlineLevel="0" max="7" min="7" style="1" width="16"/>
    <col collapsed="false" customWidth="true" hidden="false" outlineLevel="0" max="8" min="8" style="1" width="14"/>
  </cols>
  <sheetData>
    <row r="1" customFormat="false" ht="17.25" hidden="false" customHeight="true" outlineLevel="0" collapsed="false">
      <c r="B1" s="2" t="s">
        <v>52</v>
      </c>
    </row>
    <row r="3" customFormat="false" ht="15" hidden="false" customHeight="true" outlineLevel="0" collapsed="false">
      <c r="B3" s="14" t="s">
        <v>53</v>
      </c>
      <c r="C3" s="14" t="s">
        <v>54</v>
      </c>
      <c r="D3" s="14" t="s">
        <v>55</v>
      </c>
      <c r="F3" s="14" t="s">
        <v>56</v>
      </c>
      <c r="G3" s="14" t="s">
        <v>54</v>
      </c>
      <c r="H3" s="14" t="s">
        <v>55</v>
      </c>
    </row>
    <row r="4" customFormat="false" ht="15" hidden="false" customHeight="true" outlineLevel="0" collapsed="false">
      <c r="B4" s="4" t="s">
        <v>57</v>
      </c>
      <c r="C4" s="9" t="n">
        <v>2000</v>
      </c>
      <c r="D4" s="11" t="n">
        <f aca="false">C4/C10</f>
        <v>0.193644959712166</v>
      </c>
      <c r="F4" s="4" t="s">
        <v>28</v>
      </c>
      <c r="G4" s="15" t="n">
        <f aca="false">Assumptions!C15</f>
        <v>6928.18</v>
      </c>
      <c r="H4" s="11" t="n">
        <f aca="false">G4/G10</f>
        <v>0.670803568489318</v>
      </c>
    </row>
    <row r="5" customFormat="false" ht="15" hidden="false" customHeight="true" outlineLevel="0" collapsed="false">
      <c r="B5" s="4" t="s">
        <v>58</v>
      </c>
      <c r="C5" s="9" t="n">
        <v>1700</v>
      </c>
      <c r="D5" s="11" t="n">
        <f aca="false">C5/C10</f>
        <v>0.164598215755341</v>
      </c>
      <c r="F5" s="4" t="s">
        <v>59</v>
      </c>
      <c r="G5" s="9" t="n">
        <v>2600</v>
      </c>
      <c r="H5" s="11" t="n">
        <f aca="false">G5/G10</f>
        <v>0.251738447625816</v>
      </c>
    </row>
    <row r="6" customFormat="false" ht="15" hidden="false" customHeight="true" outlineLevel="0" collapsed="false">
      <c r="B6" s="4" t="s">
        <v>60</v>
      </c>
      <c r="C6" s="9" t="n">
        <v>1300</v>
      </c>
      <c r="D6" s="11" t="n">
        <f aca="false">C6/C10</f>
        <v>0.125869223812908</v>
      </c>
      <c r="F6" s="4" t="s">
        <v>61</v>
      </c>
      <c r="G6" s="9" t="n">
        <v>350</v>
      </c>
      <c r="H6" s="11" t="n">
        <f aca="false">G6/G10</f>
        <v>0.0338878679496291</v>
      </c>
    </row>
    <row r="7" customFormat="false" ht="15" hidden="false" customHeight="true" outlineLevel="0" collapsed="false">
      <c r="B7" s="4" t="s">
        <v>62</v>
      </c>
      <c r="C7" s="9" t="n">
        <v>1300</v>
      </c>
      <c r="D7" s="11" t="n">
        <f aca="false">C7/C10</f>
        <v>0.125869223812908</v>
      </c>
      <c r="F7" s="4" t="s">
        <v>63</v>
      </c>
      <c r="G7" s="9" t="n">
        <v>250</v>
      </c>
      <c r="H7" s="11" t="n">
        <f aca="false">G7/G10</f>
        <v>0.0242056199640208</v>
      </c>
    </row>
    <row r="8" customFormat="false" ht="15" hidden="false" customHeight="true" outlineLevel="0" collapsed="false">
      <c r="B8" s="4" t="s">
        <v>64</v>
      </c>
      <c r="C8" s="9" t="n">
        <v>200</v>
      </c>
      <c r="D8" s="11" t="n">
        <f aca="false">C8/C10</f>
        <v>0.0193644959712166</v>
      </c>
      <c r="F8" s="4" t="s">
        <v>65</v>
      </c>
      <c r="G8" s="9" t="n">
        <v>150</v>
      </c>
      <c r="H8" s="11" t="n">
        <f aca="false">G8/G10</f>
        <v>0.0145233719784125</v>
      </c>
    </row>
    <row r="9" customFormat="false" ht="15" hidden="false" customHeight="true" outlineLevel="0" collapsed="false">
      <c r="B9" s="4" t="s">
        <v>66</v>
      </c>
      <c r="C9" s="16" t="n">
        <f aca="false">G10-SUM(C4:C8)</f>
        <v>3828.18</v>
      </c>
      <c r="D9" s="11" t="n">
        <f aca="false">C9/C10</f>
        <v>0.37065388093546</v>
      </c>
      <c r="F9" s="4" t="s">
        <v>67</v>
      </c>
      <c r="G9" s="9" t="n">
        <v>50</v>
      </c>
      <c r="H9" s="11" t="n">
        <f aca="false">G9/G10</f>
        <v>0.00484112399280415</v>
      </c>
    </row>
    <row r="10" customFormat="false" ht="15" hidden="false" customHeight="true" outlineLevel="0" collapsed="false">
      <c r="B10" s="4" t="s">
        <v>68</v>
      </c>
      <c r="C10" s="17" t="n">
        <f aca="false">SUM(C4:C9)</f>
        <v>10328.18</v>
      </c>
      <c r="D10" s="18" t="n">
        <f aca="false">SUM(D4:D9)</f>
        <v>1</v>
      </c>
      <c r="F10" s="4" t="s">
        <v>69</v>
      </c>
      <c r="G10" s="17" t="n">
        <f aca="false">SUM(G4:G9)</f>
        <v>10328.18</v>
      </c>
      <c r="H10" s="18" t="n">
        <f aca="false">SUM(H4:H9)</f>
        <v>1</v>
      </c>
    </row>
    <row r="12" customFormat="false" ht="15" hidden="false" customHeight="true" outlineLevel="0" collapsed="false">
      <c r="B12" s="3" t="s">
        <v>70</v>
      </c>
    </row>
    <row r="13" customFormat="false" ht="15" hidden="false" customHeight="true" outlineLevel="0" collapsed="false">
      <c r="B13" s="4" t="s">
        <v>71</v>
      </c>
      <c r="C13" s="13" t="n">
        <f aca="false">SUM(C4:C7)/Assumptions!C22</f>
        <v>5.84415584415584</v>
      </c>
    </row>
    <row r="14" customFormat="false" ht="15" hidden="false" customHeight="true" outlineLevel="0" collapsed="false">
      <c r="B14" s="4" t="s">
        <v>72</v>
      </c>
      <c r="C14" s="13" t="n">
        <f aca="false">SUM(C4:C5)/Assumptions!C22</f>
        <v>3.43228200371058</v>
      </c>
    </row>
    <row r="15" customFormat="false" ht="15" hidden="false" customHeight="true" outlineLevel="0" collapsed="false">
      <c r="B15" s="4" t="s">
        <v>73</v>
      </c>
      <c r="C15" s="11" t="n">
        <f aca="false">SUM(C8:C9)/C10</f>
        <v>0.390018376906677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B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8" min="3" style="1" width="16"/>
  </cols>
  <sheetData>
    <row r="1" customFormat="false" ht="17.25" hidden="false" customHeight="true" outlineLevel="0" collapsed="false">
      <c r="B1" s="2" t="s">
        <v>74</v>
      </c>
    </row>
    <row r="3" customFormat="false" ht="15" hidden="false" customHeight="true" outlineLevel="0" collapsed="false">
      <c r="B3" s="14"/>
      <c r="C3" s="14" t="s">
        <v>75</v>
      </c>
      <c r="D3" s="14" t="s">
        <v>76</v>
      </c>
      <c r="E3" s="14" t="s">
        <v>77</v>
      </c>
      <c r="F3" s="14" t="s">
        <v>78</v>
      </c>
      <c r="G3" s="14" t="s">
        <v>79</v>
      </c>
      <c r="H3" s="14" t="s">
        <v>80</v>
      </c>
    </row>
    <row r="4" customFormat="false" ht="15" hidden="false" customHeight="true" outlineLevel="0" collapsed="false">
      <c r="B4" s="3" t="s">
        <v>81</v>
      </c>
    </row>
    <row r="5" customFormat="false" ht="15" hidden="false" customHeight="true" outlineLevel="0" collapsed="false">
      <c r="B5" s="4" t="s">
        <v>38</v>
      </c>
      <c r="C5" s="15" t="n">
        <f aca="false">Assumptions!C21</f>
        <v>17565</v>
      </c>
      <c r="D5" s="8" t="n">
        <f aca="false">C5*(1+Assumptions!H4)</f>
        <v>18004.125</v>
      </c>
      <c r="E5" s="8" t="n">
        <f aca="false">D5*(1+Assumptions!H5)</f>
        <v>18544.24875</v>
      </c>
      <c r="F5" s="8" t="n">
        <f aca="false">E5*(1+Assumptions!H6)</f>
        <v>19100.5762125</v>
      </c>
      <c r="G5" s="8" t="n">
        <f aca="false">F5*(1+Assumptions!H7)</f>
        <v>19578.0906178125</v>
      </c>
      <c r="H5" s="8" t="n">
        <f aca="false">G5*(1+Assumptions!H8)</f>
        <v>19969.6524301687</v>
      </c>
    </row>
    <row r="6" customFormat="false" ht="15" hidden="false" customHeight="true" outlineLevel="0" collapsed="false">
      <c r="B6" s="19" t="s">
        <v>82</v>
      </c>
      <c r="C6" s="20" t="s">
        <v>83</v>
      </c>
      <c r="D6" s="11" t="n">
        <f aca="false">D5/C5-1</f>
        <v>0.0249999999999999</v>
      </c>
      <c r="E6" s="11" t="n">
        <f aca="false">E5/D5-1</f>
        <v>0.03</v>
      </c>
      <c r="F6" s="11" t="n">
        <f aca="false">F5/E5-1</f>
        <v>0.03</v>
      </c>
      <c r="G6" s="11" t="n">
        <f aca="false">G5/F5-1</f>
        <v>0.0249999999999999</v>
      </c>
      <c r="H6" s="11" t="n">
        <f aca="false">H5/G5-1</f>
        <v>0.02</v>
      </c>
    </row>
    <row r="8" customFormat="false" ht="15" hidden="false" customHeight="true" outlineLevel="0" collapsed="false">
      <c r="B8" s="4" t="s">
        <v>40</v>
      </c>
      <c r="C8" s="15" t="n">
        <f aca="false">Assumptions!C22</f>
        <v>1078</v>
      </c>
      <c r="D8" s="8" t="n">
        <f aca="false">D5*Assumptions!H11</f>
        <v>1116.25575</v>
      </c>
      <c r="E8" s="8" t="n">
        <f aca="false">E5*Assumptions!H12</f>
        <v>1205.37616875</v>
      </c>
      <c r="F8" s="8" t="n">
        <f aca="false">F5*Assumptions!H13</f>
        <v>1298.83918245</v>
      </c>
      <c r="G8" s="8" t="n">
        <f aca="false">G5*Assumptions!H14</f>
        <v>1370.46634324687</v>
      </c>
      <c r="H8" s="8" t="n">
        <f aca="false">H5*Assumptions!H15</f>
        <v>1437.81497497215</v>
      </c>
    </row>
    <row r="9" customFormat="false" ht="15" hidden="false" customHeight="true" outlineLevel="0" collapsed="false">
      <c r="B9" s="19" t="s">
        <v>84</v>
      </c>
      <c r="C9" s="11" t="n">
        <f aca="false">C8/C5</f>
        <v>0.0613720466837461</v>
      </c>
      <c r="D9" s="11" t="n">
        <f aca="false">D8/D5</f>
        <v>0.062</v>
      </c>
      <c r="E9" s="11" t="n">
        <f aca="false">E8/E5</f>
        <v>0.065</v>
      </c>
      <c r="F9" s="11" t="n">
        <f aca="false">F8/F5</f>
        <v>0.068</v>
      </c>
      <c r="G9" s="11" t="n">
        <f aca="false">G8/G5</f>
        <v>0.07</v>
      </c>
      <c r="H9" s="11" t="n">
        <f aca="false">H8/H5</f>
        <v>0.072</v>
      </c>
    </row>
    <row r="11" customFormat="false" ht="15" hidden="false" customHeight="true" outlineLevel="0" collapsed="false">
      <c r="B11" s="4" t="s">
        <v>85</v>
      </c>
      <c r="C11" s="15" t="n">
        <f aca="false">Assumptions!C24</f>
        <v>565</v>
      </c>
      <c r="D11" s="8" t="n">
        <f aca="false">D5*Assumptions!H18</f>
        <v>576.132</v>
      </c>
      <c r="E11" s="8" t="n">
        <f aca="false">E5*Assumptions!H18</f>
        <v>593.41596</v>
      </c>
      <c r="F11" s="8" t="n">
        <f aca="false">F5*Assumptions!H18</f>
        <v>611.2184388</v>
      </c>
      <c r="G11" s="8" t="n">
        <f aca="false">G5*Assumptions!H18</f>
        <v>626.49889977</v>
      </c>
      <c r="H11" s="8" t="n">
        <f aca="false">H5*Assumptions!H18</f>
        <v>639.0288777654</v>
      </c>
    </row>
    <row r="12" customFormat="false" ht="15" hidden="false" customHeight="true" outlineLevel="0" collapsed="false">
      <c r="B12" s="4" t="s">
        <v>45</v>
      </c>
      <c r="C12" s="21" t="n">
        <f aca="false">C8-C11</f>
        <v>513</v>
      </c>
      <c r="D12" s="21" t="n">
        <f aca="false">D8-D11</f>
        <v>540.12375</v>
      </c>
      <c r="E12" s="21" t="n">
        <f aca="false">E8-E11</f>
        <v>611.96020875</v>
      </c>
      <c r="F12" s="21" t="n">
        <f aca="false">F8-F11</f>
        <v>687.62074365</v>
      </c>
      <c r="G12" s="21" t="n">
        <f aca="false">G8-G11</f>
        <v>743.967443476875</v>
      </c>
      <c r="H12" s="21" t="n">
        <f aca="false">H8-H11</f>
        <v>798.78609720675</v>
      </c>
    </row>
    <row r="13" customFormat="false" ht="15" hidden="false" customHeight="true" outlineLevel="0" collapsed="false">
      <c r="B13" s="19" t="s">
        <v>86</v>
      </c>
      <c r="C13" s="11" t="n">
        <f aca="false">C12/C5</f>
        <v>0.0292058070025619</v>
      </c>
      <c r="D13" s="11" t="n">
        <f aca="false">D12/D5</f>
        <v>0.03</v>
      </c>
      <c r="E13" s="11" t="n">
        <f aca="false">E12/E5</f>
        <v>0.033</v>
      </c>
      <c r="F13" s="11" t="n">
        <f aca="false">F12/F5</f>
        <v>0.036</v>
      </c>
      <c r="G13" s="11" t="n">
        <f aca="false">G12/G5</f>
        <v>0.038</v>
      </c>
      <c r="H13" s="11" t="n">
        <f aca="false">H12/H5</f>
        <v>0.04</v>
      </c>
    </row>
    <row r="15" customFormat="false" ht="15" hidden="false" customHeight="true" outlineLevel="0" collapsed="false">
      <c r="B15" s="3" t="s">
        <v>87</v>
      </c>
    </row>
    <row r="16" customFormat="false" ht="15" hidden="false" customHeight="true" outlineLevel="0" collapsed="false">
      <c r="B16" s="4" t="s">
        <v>40</v>
      </c>
      <c r="C16" s="8" t="n">
        <f aca="false">C8</f>
        <v>1078</v>
      </c>
      <c r="D16" s="8" t="n">
        <f aca="false">D8</f>
        <v>1116.25575</v>
      </c>
      <c r="E16" s="8" t="n">
        <f aca="false">E8</f>
        <v>1205.37616875</v>
      </c>
      <c r="F16" s="8" t="n">
        <f aca="false">F8</f>
        <v>1298.83918245</v>
      </c>
      <c r="G16" s="8" t="n">
        <f aca="false">G8</f>
        <v>1370.46634324687</v>
      </c>
      <c r="H16" s="8" t="n">
        <f aca="false">H8</f>
        <v>1437.81497497215</v>
      </c>
    </row>
    <row r="17" customFormat="false" ht="15" hidden="false" customHeight="true" outlineLevel="0" collapsed="false">
      <c r="B17" s="4" t="s">
        <v>88</v>
      </c>
      <c r="C17" s="8" t="n">
        <f aca="false">-C12*Assumptions!H21</f>
        <v>-128.25</v>
      </c>
      <c r="D17" s="8" t="n">
        <f aca="false">-MAX(0,(D12-'Debt Schedule'!D38))*Assumptions!H21</f>
        <v>-52.2809375</v>
      </c>
      <c r="E17" s="8" t="n">
        <f aca="false">-MAX(0,(E12-'Debt Schedule'!E38))*Assumptions!H21</f>
        <v>-72.2619153515625</v>
      </c>
      <c r="F17" s="8" t="n">
        <f aca="false">-MAX(0,(F12-'Debt Schedule'!F38))*Assumptions!H21</f>
        <v>-93.6130167203369</v>
      </c>
      <c r="G17" s="8" t="n">
        <f aca="false">-MAX(0,(G12-'Debt Schedule'!G38))*Assumptions!H21</f>
        <v>-110.588391197006</v>
      </c>
      <c r="H17" s="8" t="n">
        <f aca="false">-MAX(0,(H12-'Debt Schedule'!H38))*Assumptions!H21</f>
        <v>-127.551244926526</v>
      </c>
    </row>
    <row r="18" customFormat="false" ht="15" hidden="false" customHeight="true" outlineLevel="0" collapsed="false">
      <c r="B18" s="4" t="s">
        <v>89</v>
      </c>
      <c r="C18" s="8" t="n">
        <f aca="false">-C5*Assumptions!H19</f>
        <v>-439.125</v>
      </c>
      <c r="D18" s="8" t="n">
        <f aca="false">-D5*Assumptions!H19</f>
        <v>-450.103125</v>
      </c>
      <c r="E18" s="8" t="n">
        <f aca="false">-E5*Assumptions!H19</f>
        <v>-463.60621875</v>
      </c>
      <c r="F18" s="8" t="n">
        <f aca="false">-F5*Assumptions!H19</f>
        <v>-477.5144053125</v>
      </c>
      <c r="G18" s="8" t="n">
        <f aca="false">-G5*Assumptions!H19</f>
        <v>-489.452265445312</v>
      </c>
      <c r="H18" s="8" t="n">
        <f aca="false">-H5*Assumptions!H19</f>
        <v>-499.241310754219</v>
      </c>
    </row>
    <row r="19" customFormat="false" ht="15" hidden="false" customHeight="true" outlineLevel="0" collapsed="false">
      <c r="B19" s="4" t="s">
        <v>90</v>
      </c>
      <c r="C19" s="22" t="n">
        <v>0</v>
      </c>
      <c r="D19" s="8" t="n">
        <f aca="false">(D5-C5)*Assumptions!H20</f>
        <v>-8.7825</v>
      </c>
      <c r="E19" s="8" t="n">
        <f aca="false">(E5-D5)*Assumptions!H20</f>
        <v>-10.802475</v>
      </c>
      <c r="F19" s="8" t="n">
        <f aca="false">(F5-E5)*Assumptions!H20</f>
        <v>-11.12654925</v>
      </c>
      <c r="G19" s="8" t="n">
        <f aca="false">(G5-F5)*Assumptions!H20</f>
        <v>-9.55028810624994</v>
      </c>
      <c r="H19" s="8" t="n">
        <f aca="false">(H5-G5)*Assumptions!H20</f>
        <v>-7.83123624712498</v>
      </c>
    </row>
    <row r="20" customFormat="false" ht="15" hidden="false" customHeight="true" outlineLevel="0" collapsed="false">
      <c r="B20" s="4" t="s">
        <v>91</v>
      </c>
      <c r="C20" s="22"/>
      <c r="D20" s="17" t="n">
        <f aca="false">SUM(D16:D19)</f>
        <v>605.0891875</v>
      </c>
      <c r="E20" s="17" t="n">
        <f aca="false">SUM(E16:E19)</f>
        <v>658.705559648438</v>
      </c>
      <c r="F20" s="17" t="n">
        <f aca="false">SUM(F16:F19)</f>
        <v>716.585211167163</v>
      </c>
      <c r="G20" s="17" t="n">
        <f aca="false">SUM(G16:G19)</f>
        <v>760.875398498306</v>
      </c>
      <c r="H20" s="17" t="n">
        <f aca="false">SUM(H16:H19)</f>
        <v>803.19118304428</v>
      </c>
    </row>
    <row r="21" customFormat="false" ht="15" hidden="false" customHeight="true" outlineLevel="0" collapsed="false">
      <c r="B21" s="19" t="s">
        <v>92</v>
      </c>
      <c r="C21" s="23"/>
      <c r="D21" s="11" t="n">
        <f aca="false">D20/D5</f>
        <v>0.0336083640554595</v>
      </c>
      <c r="E21" s="11" t="n">
        <f aca="false">E20/E5</f>
        <v>0.0355207465413468</v>
      </c>
      <c r="F21" s="11" t="n">
        <f aca="false">F20/F5</f>
        <v>0.0375164185203066</v>
      </c>
      <c r="G21" s="11" t="n">
        <f aca="false">G20/G5</f>
        <v>0.0388636161386468</v>
      </c>
      <c r="H21" s="11" t="n">
        <f aca="false">H20/H5</f>
        <v>0.0402205890088941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4B28"/>
    <pageSetUpPr fitToPage="false"/>
  </sheetPr>
  <dimension ref="B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8" min="3" style="1" width="16"/>
  </cols>
  <sheetData>
    <row r="1" customFormat="false" ht="17.25" hidden="false" customHeight="true" outlineLevel="0" collapsed="false">
      <c r="B1" s="2" t="s">
        <v>93</v>
      </c>
    </row>
    <row r="3" customFormat="false" ht="15" hidden="false" customHeight="true" outlineLevel="0" collapsed="false">
      <c r="B3" s="14"/>
      <c r="C3" s="14" t="s">
        <v>94</v>
      </c>
      <c r="D3" s="14" t="s">
        <v>76</v>
      </c>
      <c r="E3" s="14" t="s">
        <v>77</v>
      </c>
      <c r="F3" s="14" t="s">
        <v>78</v>
      </c>
      <c r="G3" s="14" t="s">
        <v>79</v>
      </c>
      <c r="H3" s="14" t="s">
        <v>80</v>
      </c>
    </row>
    <row r="4" customFormat="false" ht="15" hidden="false" customHeight="true" outlineLevel="0" collapsed="false">
      <c r="B4" s="3" t="s">
        <v>95</v>
      </c>
    </row>
    <row r="5" customFormat="false" ht="15" hidden="false" customHeight="true" outlineLevel="0" collapsed="false">
      <c r="B5" s="4" t="s">
        <v>96</v>
      </c>
      <c r="C5" s="6" t="n">
        <v>0.055</v>
      </c>
    </row>
    <row r="6" customFormat="false" ht="15" hidden="false" customHeight="true" outlineLevel="0" collapsed="false">
      <c r="B6" s="4" t="s">
        <v>97</v>
      </c>
      <c r="C6" s="6" t="n">
        <v>0.065</v>
      </c>
    </row>
    <row r="7" customFormat="false" ht="15" hidden="false" customHeight="true" outlineLevel="0" collapsed="false">
      <c r="B7" s="4" t="s">
        <v>98</v>
      </c>
      <c r="C7" s="6" t="n">
        <v>0.085</v>
      </c>
    </row>
    <row r="8" customFormat="false" ht="15" hidden="false" customHeight="true" outlineLevel="0" collapsed="false">
      <c r="B8" s="4" t="s">
        <v>99</v>
      </c>
      <c r="C8" s="6" t="n">
        <v>0.1</v>
      </c>
    </row>
    <row r="10" customFormat="false" ht="15" hidden="false" customHeight="true" outlineLevel="0" collapsed="false">
      <c r="B10" s="3" t="s">
        <v>100</v>
      </c>
    </row>
    <row r="11" customFormat="false" ht="15" hidden="false" customHeight="true" outlineLevel="0" collapsed="false">
      <c r="B11" s="4" t="s">
        <v>101</v>
      </c>
      <c r="C11" s="6" t="n">
        <v>0.01</v>
      </c>
    </row>
    <row r="12" customFormat="false" ht="15" hidden="false" customHeight="true" outlineLevel="0" collapsed="false">
      <c r="B12" s="4" t="s">
        <v>102</v>
      </c>
      <c r="C12" s="6" t="n">
        <v>0.5</v>
      </c>
    </row>
    <row r="14" customFormat="false" ht="15" hidden="false" customHeight="true" outlineLevel="0" collapsed="false">
      <c r="B14" s="3" t="s">
        <v>103</v>
      </c>
    </row>
    <row r="15" customFormat="false" ht="15" hidden="false" customHeight="true" outlineLevel="0" collapsed="false">
      <c r="B15" s="4" t="s">
        <v>104</v>
      </c>
      <c r="C15" s="15" t="n">
        <f aca="false">'Sources &amp; Uses'!C4</f>
        <v>2000</v>
      </c>
      <c r="D15" s="8" t="n">
        <f aca="false">C15</f>
        <v>2000</v>
      </c>
      <c r="E15" s="8" t="n">
        <f aca="false">D18</f>
        <v>1852.95540625</v>
      </c>
      <c r="F15" s="8" t="n">
        <f aca="false">E18</f>
        <v>1675.79412306641</v>
      </c>
      <c r="G15" s="8" t="n">
        <f aca="false">F18</f>
        <v>1465.70688525182</v>
      </c>
      <c r="H15" s="8" t="n">
        <f aca="false">G18</f>
        <v>1228.74759092083</v>
      </c>
    </row>
    <row r="16" customFormat="false" ht="15" hidden="false" customHeight="true" outlineLevel="0" collapsed="false">
      <c r="B16" s="19" t="s">
        <v>105</v>
      </c>
      <c r="C16" s="22" t="n">
        <v>0</v>
      </c>
      <c r="D16" s="8" t="n">
        <f aca="false">-D15*$C$11</f>
        <v>-20</v>
      </c>
      <c r="E16" s="8" t="n">
        <f aca="false">-E15*$C$11</f>
        <v>-18.5295540625</v>
      </c>
      <c r="F16" s="8" t="n">
        <f aca="false">-F15*$C$11</f>
        <v>-16.7579412306641</v>
      </c>
      <c r="G16" s="8" t="n">
        <f aca="false">-G15*$C$11</f>
        <v>-14.6570688525182</v>
      </c>
      <c r="H16" s="8" t="n">
        <f aca="false">-H15*$C$11</f>
        <v>-12.2874759092083</v>
      </c>
    </row>
    <row r="17" customFormat="false" ht="15" hidden="false" customHeight="true" outlineLevel="0" collapsed="false">
      <c r="B17" s="19" t="s">
        <v>106</v>
      </c>
      <c r="C17" s="22" t="n">
        <v>0</v>
      </c>
      <c r="D17" s="8" t="n">
        <f aca="false">-MIN(D15+D16,MAX(0,D45*$C$12))</f>
        <v>-127.04459375</v>
      </c>
      <c r="E17" s="8" t="n">
        <f aca="false">-MIN(E15+E16,MAX(0,E45*$C$12))</f>
        <v>-158.631729121094</v>
      </c>
      <c r="F17" s="8" t="n">
        <f aca="false">-MIN(F15+F16,MAX(0,F45*$C$12))</f>
        <v>-193.329296583923</v>
      </c>
      <c r="G17" s="8" t="n">
        <f aca="false">-MIN(G15+G16,MAX(0,G45*$C$12))</f>
        <v>-222.302225478469</v>
      </c>
      <c r="H17" s="8" t="n">
        <f aca="false">-MIN(H15+H16,MAX(0,H45*$C$12))</f>
        <v>-251.161294817213</v>
      </c>
    </row>
    <row r="18" customFormat="false" ht="15" hidden="false" customHeight="true" outlineLevel="0" collapsed="false">
      <c r="B18" s="4" t="s">
        <v>107</v>
      </c>
      <c r="C18" s="24" t="n">
        <f aca="false">C15</f>
        <v>2000</v>
      </c>
      <c r="D18" s="24" t="n">
        <f aca="false">MAX(0,D15+D16+D17)</f>
        <v>1852.95540625</v>
      </c>
      <c r="E18" s="24" t="n">
        <f aca="false">MAX(0,E15+E16+E17)</f>
        <v>1675.79412306641</v>
      </c>
      <c r="F18" s="24" t="n">
        <f aca="false">MAX(0,F15+F16+F17)</f>
        <v>1465.70688525182</v>
      </c>
      <c r="G18" s="24" t="n">
        <f aca="false">MAX(0,G15+G16+G17)</f>
        <v>1228.74759092083</v>
      </c>
      <c r="H18" s="24" t="n">
        <f aca="false">MAX(0,H15+H16+H17)</f>
        <v>965.29882019441</v>
      </c>
    </row>
    <row r="19" customFormat="false" ht="15" hidden="false" customHeight="true" outlineLevel="0" collapsed="false">
      <c r="B19" s="19" t="s">
        <v>108</v>
      </c>
      <c r="C19" s="22" t="n">
        <v>0</v>
      </c>
      <c r="D19" s="8" t="n">
        <f aca="false">D15*$C$5</f>
        <v>110</v>
      </c>
      <c r="E19" s="8" t="n">
        <f aca="false">E15*$C$5</f>
        <v>101.91254734375</v>
      </c>
      <c r="F19" s="8" t="n">
        <f aca="false">F15*$C$5</f>
        <v>92.1686767686524</v>
      </c>
      <c r="G19" s="8" t="n">
        <f aca="false">G15*$C$5</f>
        <v>80.61387868885</v>
      </c>
      <c r="H19" s="8" t="n">
        <f aca="false">H15*$C$5</f>
        <v>67.5811175006458</v>
      </c>
    </row>
    <row r="21" customFormat="false" ht="15" hidden="false" customHeight="true" outlineLevel="0" collapsed="false">
      <c r="B21" s="3" t="s">
        <v>109</v>
      </c>
    </row>
    <row r="22" customFormat="false" ht="15" hidden="false" customHeight="true" outlineLevel="0" collapsed="false">
      <c r="B22" s="4" t="s">
        <v>104</v>
      </c>
      <c r="C22" s="15" t="n">
        <f aca="false">'Sources &amp; Uses'!C5</f>
        <v>1700</v>
      </c>
      <c r="D22" s="8" t="n">
        <f aca="false">C22</f>
        <v>1700</v>
      </c>
      <c r="E22" s="8" t="n">
        <f aca="false">D22</f>
        <v>1700</v>
      </c>
      <c r="F22" s="8" t="n">
        <f aca="false">E22</f>
        <v>1700</v>
      </c>
      <c r="G22" s="8" t="n">
        <f aca="false">F22</f>
        <v>1700</v>
      </c>
      <c r="H22" s="8" t="n">
        <f aca="false">G22</f>
        <v>1700</v>
      </c>
    </row>
    <row r="23" customFormat="false" ht="15" hidden="false" customHeight="true" outlineLevel="0" collapsed="false">
      <c r="B23" s="4" t="s">
        <v>107</v>
      </c>
      <c r="C23" s="25" t="n">
        <f aca="false">C22</f>
        <v>1700</v>
      </c>
      <c r="D23" s="25" t="n">
        <f aca="false">D22</f>
        <v>1700</v>
      </c>
      <c r="E23" s="25" t="n">
        <f aca="false">E22</f>
        <v>1700</v>
      </c>
      <c r="F23" s="25" t="n">
        <f aca="false">F22</f>
        <v>1700</v>
      </c>
      <c r="G23" s="25" t="n">
        <f aca="false">G22</f>
        <v>1700</v>
      </c>
      <c r="H23" s="25" t="n">
        <f aca="false">H22</f>
        <v>1700</v>
      </c>
    </row>
    <row r="24" customFormat="false" ht="15" hidden="false" customHeight="true" outlineLevel="0" collapsed="false">
      <c r="B24" s="19" t="s">
        <v>108</v>
      </c>
      <c r="C24" s="22" t="n">
        <v>0</v>
      </c>
      <c r="D24" s="8" t="n">
        <f aca="false">D22*$C$6</f>
        <v>110.5</v>
      </c>
      <c r="E24" s="8" t="n">
        <f aca="false">E22*$C$6</f>
        <v>110.5</v>
      </c>
      <c r="F24" s="8" t="n">
        <f aca="false">F22*$C$6</f>
        <v>110.5</v>
      </c>
      <c r="G24" s="8" t="n">
        <f aca="false">G22*$C$6</f>
        <v>110.5</v>
      </c>
      <c r="H24" s="8" t="n">
        <f aca="false">H22*$C$6</f>
        <v>110.5</v>
      </c>
    </row>
    <row r="26" customFormat="false" ht="15" hidden="false" customHeight="true" outlineLevel="0" collapsed="false">
      <c r="B26" s="3" t="s">
        <v>110</v>
      </c>
    </row>
    <row r="27" customFormat="false" ht="15" hidden="false" customHeight="true" outlineLevel="0" collapsed="false">
      <c r="B27" s="4" t="s">
        <v>104</v>
      </c>
      <c r="C27" s="15" t="n">
        <f aca="false">'Sources &amp; Uses'!C6</f>
        <v>1300</v>
      </c>
      <c r="D27" s="8" t="n">
        <f aca="false">C27</f>
        <v>1300</v>
      </c>
      <c r="E27" s="8" t="n">
        <f aca="false">D27</f>
        <v>1300</v>
      </c>
      <c r="F27" s="8" t="n">
        <f aca="false">E27</f>
        <v>1300</v>
      </c>
      <c r="G27" s="8" t="n">
        <f aca="false">F27</f>
        <v>1300</v>
      </c>
      <c r="H27" s="8" t="n">
        <f aca="false">G27</f>
        <v>1300</v>
      </c>
    </row>
    <row r="28" customFormat="false" ht="15" hidden="false" customHeight="true" outlineLevel="0" collapsed="false">
      <c r="B28" s="4" t="s">
        <v>107</v>
      </c>
      <c r="C28" s="25" t="n">
        <f aca="false">C27</f>
        <v>1300</v>
      </c>
      <c r="D28" s="25" t="n">
        <f aca="false">D27</f>
        <v>1300</v>
      </c>
      <c r="E28" s="25" t="n">
        <f aca="false">E27</f>
        <v>1300</v>
      </c>
      <c r="F28" s="25" t="n">
        <f aca="false">F27</f>
        <v>1300</v>
      </c>
      <c r="G28" s="25" t="n">
        <f aca="false">G27</f>
        <v>1300</v>
      </c>
      <c r="H28" s="25" t="n">
        <f aca="false">H27</f>
        <v>1300</v>
      </c>
    </row>
    <row r="29" customFormat="false" ht="15" hidden="false" customHeight="true" outlineLevel="0" collapsed="false">
      <c r="B29" s="19" t="s">
        <v>108</v>
      </c>
      <c r="C29" s="22" t="n">
        <v>0</v>
      </c>
      <c r="D29" s="8" t="n">
        <f aca="false">D27*$C$7</f>
        <v>110.5</v>
      </c>
      <c r="E29" s="8" t="n">
        <f aca="false">E27*$C$7</f>
        <v>110.5</v>
      </c>
      <c r="F29" s="8" t="n">
        <f aca="false">F27*$C$7</f>
        <v>110.5</v>
      </c>
      <c r="G29" s="8" t="n">
        <f aca="false">G27*$C$7</f>
        <v>110.5</v>
      </c>
      <c r="H29" s="8" t="n">
        <f aca="false">H27*$C$7</f>
        <v>110.5</v>
      </c>
    </row>
    <row r="31" customFormat="false" ht="15" hidden="false" customHeight="true" outlineLevel="0" collapsed="false">
      <c r="B31" s="3" t="s">
        <v>111</v>
      </c>
    </row>
    <row r="32" customFormat="false" ht="15" hidden="false" customHeight="true" outlineLevel="0" collapsed="false">
      <c r="B32" s="4" t="s">
        <v>104</v>
      </c>
      <c r="C32" s="15" t="n">
        <f aca="false">'Sources &amp; Uses'!C7</f>
        <v>1300</v>
      </c>
      <c r="D32" s="8" t="n">
        <f aca="false">C32</f>
        <v>1300</v>
      </c>
      <c r="E32" s="8" t="n">
        <f aca="false">D34</f>
        <v>1430</v>
      </c>
      <c r="F32" s="8" t="n">
        <f aca="false">E34</f>
        <v>1573</v>
      </c>
      <c r="G32" s="8" t="n">
        <f aca="false">F34</f>
        <v>1730.3</v>
      </c>
      <c r="H32" s="8" t="n">
        <f aca="false">G34</f>
        <v>1903.33</v>
      </c>
    </row>
    <row r="33" customFormat="false" ht="15" hidden="false" customHeight="true" outlineLevel="0" collapsed="false">
      <c r="B33" s="19" t="s">
        <v>112</v>
      </c>
      <c r="C33" s="22" t="n">
        <v>0</v>
      </c>
      <c r="D33" s="8" t="n">
        <f aca="false">D32*$C$8</f>
        <v>130</v>
      </c>
      <c r="E33" s="8" t="n">
        <f aca="false">E32*$C$8</f>
        <v>143</v>
      </c>
      <c r="F33" s="8" t="n">
        <f aca="false">F32*$C$8</f>
        <v>157.3</v>
      </c>
      <c r="G33" s="8" t="n">
        <f aca="false">G32*$C$8</f>
        <v>173.03</v>
      </c>
      <c r="H33" s="8" t="n">
        <f aca="false">H32*$C$8</f>
        <v>190.333</v>
      </c>
    </row>
    <row r="34" customFormat="false" ht="15" hidden="false" customHeight="true" outlineLevel="0" collapsed="false">
      <c r="B34" s="4" t="s">
        <v>107</v>
      </c>
      <c r="C34" s="25" t="n">
        <f aca="false">C32</f>
        <v>1300</v>
      </c>
      <c r="D34" s="25" t="n">
        <f aca="false">D32+D33</f>
        <v>1430</v>
      </c>
      <c r="E34" s="25" t="n">
        <f aca="false">E32+E33</f>
        <v>1573</v>
      </c>
      <c r="F34" s="25" t="n">
        <f aca="false">F32+F33</f>
        <v>1730.3</v>
      </c>
      <c r="G34" s="25" t="n">
        <f aca="false">G32+G33</f>
        <v>1903.33</v>
      </c>
      <c r="H34" s="25" t="n">
        <f aca="false">H32+H33</f>
        <v>2093.663</v>
      </c>
    </row>
    <row r="36" customFormat="false" ht="15" hidden="false" customHeight="true" outlineLevel="0" collapsed="false">
      <c r="B36" s="3" t="s">
        <v>113</v>
      </c>
    </row>
    <row r="37" customFormat="false" ht="15" hidden="false" customHeight="true" outlineLevel="0" collapsed="false">
      <c r="B37" s="4" t="s">
        <v>114</v>
      </c>
      <c r="C37" s="17" t="n">
        <f aca="false">C15+C23+C28+C34</f>
        <v>6300</v>
      </c>
      <c r="D37" s="17" t="n">
        <f aca="false">D18+D23+D28+D34</f>
        <v>6282.95540625</v>
      </c>
      <c r="E37" s="17" t="n">
        <f aca="false">E18+E23+E28+E34</f>
        <v>6248.79412306641</v>
      </c>
      <c r="F37" s="17" t="n">
        <f aca="false">F18+F23+F28+F34</f>
        <v>6196.00688525182</v>
      </c>
      <c r="G37" s="17" t="n">
        <f aca="false">G18+G23+G28+G34</f>
        <v>6132.07759092083</v>
      </c>
      <c r="H37" s="17" t="n">
        <f aca="false">H18+H23+H28+H34</f>
        <v>6058.96182019441</v>
      </c>
    </row>
    <row r="38" customFormat="false" ht="15" hidden="false" customHeight="true" outlineLevel="0" collapsed="false">
      <c r="B38" s="4" t="s">
        <v>115</v>
      </c>
      <c r="C38" s="22" t="n">
        <v>0</v>
      </c>
      <c r="D38" s="8" t="n">
        <f aca="false">D19+D24+D29</f>
        <v>331</v>
      </c>
      <c r="E38" s="8" t="n">
        <f aca="false">E19+E24+E29</f>
        <v>322.91254734375</v>
      </c>
      <c r="F38" s="8" t="n">
        <f aca="false">F19+F24+F29</f>
        <v>313.168676768652</v>
      </c>
      <c r="G38" s="8" t="n">
        <f aca="false">G19+G24+G29</f>
        <v>301.61387868885</v>
      </c>
      <c r="H38" s="8" t="n">
        <f aca="false">H19+H24+H29</f>
        <v>288.581117500646</v>
      </c>
    </row>
    <row r="39" customFormat="false" ht="15" hidden="false" customHeight="true" outlineLevel="0" collapsed="false">
      <c r="B39" s="4" t="s">
        <v>71</v>
      </c>
      <c r="C39" s="26"/>
      <c r="D39" s="13" t="n">
        <f aca="false">IFERROR(D37/'Operating Model'!D8,0)</f>
        <v>5.62859846970553</v>
      </c>
      <c r="E39" s="13" t="n">
        <f aca="false">IFERROR(E37/'Operating Model'!E8,0)</f>
        <v>5.18410292576676</v>
      </c>
      <c r="F39" s="13" t="n">
        <f aca="false">IFERROR(F37/'Operating Model'!F8,0)</f>
        <v>4.77041882395655</v>
      </c>
      <c r="G39" s="13" t="n">
        <f aca="false">IFERROR(G37/'Operating Model'!G8,0)</f>
        <v>4.47444595858725</v>
      </c>
      <c r="H39" s="13" t="n">
        <f aca="false">IFERROR(H37/'Operating Model'!H8,0)</f>
        <v>4.21400661814068</v>
      </c>
    </row>
    <row r="41" customFormat="false" ht="15" hidden="false" customHeight="true" outlineLevel="0" collapsed="false">
      <c r="B41" s="3" t="s">
        <v>116</v>
      </c>
    </row>
    <row r="42" customFormat="false" ht="15" hidden="false" customHeight="true" outlineLevel="0" collapsed="false">
      <c r="B42" s="4" t="s">
        <v>91</v>
      </c>
      <c r="C42" s="22"/>
      <c r="D42" s="15" t="n">
        <f aca="false">'Operating Model'!D20</f>
        <v>605.0891875</v>
      </c>
      <c r="E42" s="15" t="n">
        <f aca="false">'Operating Model'!E20</f>
        <v>658.705559648438</v>
      </c>
      <c r="F42" s="15" t="n">
        <f aca="false">'Operating Model'!F20</f>
        <v>716.585211167163</v>
      </c>
      <c r="G42" s="15" t="n">
        <f aca="false">'Operating Model'!G20</f>
        <v>760.875398498306</v>
      </c>
      <c r="H42" s="15" t="n">
        <f aca="false">'Operating Model'!H20</f>
        <v>803.19118304428</v>
      </c>
    </row>
    <row r="43" customFormat="false" ht="15" hidden="false" customHeight="true" outlineLevel="0" collapsed="false">
      <c r="B43" s="4" t="s">
        <v>117</v>
      </c>
      <c r="C43" s="22"/>
      <c r="D43" s="8" t="n">
        <f aca="false">-D38</f>
        <v>-331</v>
      </c>
      <c r="E43" s="8" t="n">
        <f aca="false">-E38</f>
        <v>-322.91254734375</v>
      </c>
      <c r="F43" s="8" t="n">
        <f aca="false">-F38</f>
        <v>-313.168676768652</v>
      </c>
      <c r="G43" s="8" t="n">
        <f aca="false">-G38</f>
        <v>-301.61387868885</v>
      </c>
      <c r="H43" s="8" t="n">
        <f aca="false">-H38</f>
        <v>-288.581117500646</v>
      </c>
    </row>
    <row r="44" customFormat="false" ht="15" hidden="false" customHeight="true" outlineLevel="0" collapsed="false">
      <c r="B44" s="4" t="s">
        <v>118</v>
      </c>
      <c r="C44" s="22"/>
      <c r="D44" s="8" t="n">
        <f aca="false">D16</f>
        <v>-20</v>
      </c>
      <c r="E44" s="8" t="n">
        <f aca="false">E16</f>
        <v>-18.5295540625</v>
      </c>
      <c r="F44" s="8" t="n">
        <f aca="false">F16</f>
        <v>-16.7579412306641</v>
      </c>
      <c r="G44" s="8" t="n">
        <f aca="false">G16</f>
        <v>-14.6570688525182</v>
      </c>
      <c r="H44" s="8" t="n">
        <f aca="false">H16</f>
        <v>-12.2874759092083</v>
      </c>
    </row>
    <row r="45" customFormat="false" ht="15" hidden="false" customHeight="true" outlineLevel="0" collapsed="false">
      <c r="B45" s="4" t="s">
        <v>119</v>
      </c>
      <c r="C45" s="22"/>
      <c r="D45" s="17" t="n">
        <f aca="false">SUM(D42:D44)</f>
        <v>254.0891875</v>
      </c>
      <c r="E45" s="17" t="n">
        <f aca="false">SUM(E42:E44)</f>
        <v>317.263458242188</v>
      </c>
      <c r="F45" s="17" t="n">
        <f aca="false">SUM(F42:F44)</f>
        <v>386.658593167847</v>
      </c>
      <c r="G45" s="17" t="n">
        <f aca="false">SUM(G42:G44)</f>
        <v>444.604450956938</v>
      </c>
      <c r="H45" s="17" t="n">
        <f aca="false">SUM(H42:H44)</f>
        <v>502.322589634426</v>
      </c>
    </row>
    <row r="47" customFormat="false" ht="15" hidden="false" customHeight="true" outlineLevel="0" collapsed="false">
      <c r="B47" s="27" t="s">
        <v>120</v>
      </c>
    </row>
    <row r="48" customFormat="false" ht="15" hidden="false" customHeight="true" outlineLevel="0" collapsed="false">
      <c r="B48" s="4" t="s">
        <v>121</v>
      </c>
      <c r="C48" s="28"/>
      <c r="D48" s="13" t="n">
        <f aca="false">IFERROR('Operating Model'!D8/D38,0)</f>
        <v>3.37237386706949</v>
      </c>
      <c r="E48" s="13" t="n">
        <f aca="false">IFERROR('Operating Model'!E8/E38,0)</f>
        <v>3.73282543111229</v>
      </c>
      <c r="F48" s="13" t="n">
        <f aca="false">IFERROR('Operating Model'!F8/F38,0)</f>
        <v>4.14741089642721</v>
      </c>
      <c r="G48" s="13" t="n">
        <f aca="false">IFERROR('Operating Model'!G8/G38,0)</f>
        <v>4.54377745879748</v>
      </c>
      <c r="H48" s="13" t="n">
        <f aca="false">IFERROR('Operating Model'!H8/H38,0)</f>
        <v>4.98235985578278</v>
      </c>
    </row>
    <row r="49" customFormat="false" ht="15" hidden="false" customHeight="true" outlineLevel="0" collapsed="false">
      <c r="B49" s="4" t="s">
        <v>122</v>
      </c>
      <c r="C49" s="28"/>
      <c r="D49" s="13" t="n">
        <f aca="false">IFERROR(('Operating Model'!D8+'Operating Model'!D18)/(D38-D16),0)</f>
        <v>1.89787072649573</v>
      </c>
      <c r="E49" s="13" t="n">
        <f aca="false">IFERROR(('Operating Model'!E8+'Operating Model'!E18)/(E38-E16),0)</f>
        <v>2.17246188137015</v>
      </c>
      <c r="F49" s="13" t="n">
        <f aca="false">IFERROR(('Operating Model'!F8+'Operating Model'!F18)/(F38-F16),0)</f>
        <v>2.4894165318277</v>
      </c>
      <c r="G49" s="13" t="n">
        <f aca="false">IFERROR(('Operating Model'!G8+'Operating Model'!G18)/(G38-G16),0)</f>
        <v>2.78563075315771</v>
      </c>
      <c r="H49" s="13" t="n">
        <f aca="false">IFERROR(('Operating Model'!H8+'Operating Model'!H18)/(H38-H16),0)</f>
        <v>3.11954682135723</v>
      </c>
    </row>
    <row r="50" customFormat="false" ht="15" hidden="false" customHeight="true" outlineLevel="0" collapsed="false">
      <c r="B50" s="4" t="s">
        <v>123</v>
      </c>
      <c r="C50" s="28"/>
      <c r="D50" s="13" t="n">
        <f aca="false">IFERROR('Operating Model'!D20/(D38-D16),0)</f>
        <v>1.72390081908832</v>
      </c>
      <c r="E50" s="13" t="n">
        <f aca="false">IFERROR('Operating Model'!E20/(E38-E16),0)</f>
        <v>1.92918669647217</v>
      </c>
      <c r="F50" s="13" t="n">
        <f aca="false">IFERROR('Operating Model'!F20/(F38-F16),0)</f>
        <v>2.17195331347484</v>
      </c>
      <c r="G50" s="13" t="n">
        <f aca="false">IFERROR('Operating Model'!G20/(G38-G16),0)</f>
        <v>2.40577076210512</v>
      </c>
      <c r="H50" s="13" t="n">
        <f aca="false">IFERROR('Operating Model'!H20/(H38-H16),0)</f>
        <v>2.6695746935279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5" min="3" style="1" width="16"/>
    <col collapsed="false" customWidth="true" hidden="false" outlineLevel="0" max="6" min="6" style="1" width="5"/>
    <col collapsed="false" customWidth="true" hidden="false" outlineLevel="0" max="7" min="7" style="1" width="28"/>
    <col collapsed="false" customWidth="true" hidden="false" outlineLevel="0" max="9" min="8" style="1" width="16"/>
  </cols>
  <sheetData>
    <row r="1" customFormat="false" ht="17.25" hidden="false" customHeight="true" outlineLevel="0" collapsed="false">
      <c r="B1" s="2" t="s">
        <v>124</v>
      </c>
    </row>
    <row r="3" customFormat="false" ht="15" hidden="false" customHeight="true" outlineLevel="0" collapsed="false">
      <c r="B3" s="3" t="s">
        <v>125</v>
      </c>
    </row>
    <row r="4" customFormat="false" ht="15" hidden="false" customHeight="true" outlineLevel="0" collapsed="false">
      <c r="B4" s="14"/>
      <c r="C4" s="14" t="s">
        <v>126</v>
      </c>
      <c r="D4" s="14" t="s">
        <v>127</v>
      </c>
      <c r="E4" s="14" t="s">
        <v>128</v>
      </c>
    </row>
    <row r="5" customFormat="false" ht="15" hidden="false" customHeight="true" outlineLevel="0" collapsed="false">
      <c r="B5" s="4" t="s">
        <v>129</v>
      </c>
      <c r="C5" s="15" t="n">
        <f aca="false">'Operating Model'!H8</f>
        <v>1437.81497497215</v>
      </c>
      <c r="D5" s="15" t="n">
        <f aca="false">'Operating Model'!H8</f>
        <v>1437.81497497215</v>
      </c>
      <c r="E5" s="15" t="n">
        <f aca="false">'Operating Model'!H8</f>
        <v>1437.81497497215</v>
      </c>
    </row>
    <row r="6" customFormat="false" ht="15" hidden="false" customHeight="true" outlineLevel="0" collapsed="false">
      <c r="B6" s="4" t="s">
        <v>130</v>
      </c>
      <c r="C6" s="29" t="n">
        <f aca="false">Assumptions!H27</f>
        <v>7.5</v>
      </c>
      <c r="D6" s="29" t="n">
        <f aca="false">Assumptions!H25</f>
        <v>8.5</v>
      </c>
      <c r="E6" s="29" t="n">
        <f aca="false">Assumptions!H26</f>
        <v>9</v>
      </c>
    </row>
    <row r="7" customFormat="false" ht="15" hidden="false" customHeight="true" outlineLevel="0" collapsed="false">
      <c r="B7" s="4" t="s">
        <v>131</v>
      </c>
      <c r="C7" s="8" t="n">
        <f aca="false">C5*C6</f>
        <v>10783.6123122911</v>
      </c>
      <c r="D7" s="8" t="n">
        <f aca="false">D5*D6</f>
        <v>12221.4272872633</v>
      </c>
      <c r="E7" s="8" t="n">
        <f aca="false">E5*E6</f>
        <v>12940.3347747493</v>
      </c>
    </row>
    <row r="8" customFormat="false" ht="15" hidden="false" customHeight="true" outlineLevel="0" collapsed="false">
      <c r="B8" s="4" t="s">
        <v>132</v>
      </c>
      <c r="C8" s="15" t="n">
        <f aca="false">-'Debt Schedule'!H37</f>
        <v>-6058.96182019441</v>
      </c>
      <c r="D8" s="15" t="n">
        <f aca="false">-'Debt Schedule'!H37</f>
        <v>-6058.96182019441</v>
      </c>
      <c r="E8" s="15" t="n">
        <f aca="false">-'Debt Schedule'!H37</f>
        <v>-6058.96182019441</v>
      </c>
    </row>
    <row r="9" customFormat="false" ht="15" hidden="false" customHeight="true" outlineLevel="0" collapsed="false">
      <c r="B9" s="4" t="s">
        <v>133</v>
      </c>
      <c r="C9" s="17" t="n">
        <f aca="false">C7+C8</f>
        <v>4724.65049209671</v>
      </c>
      <c r="D9" s="17" t="n">
        <f aca="false">D7+D8</f>
        <v>6162.46546706886</v>
      </c>
      <c r="E9" s="17" t="n">
        <f aca="false">E7+E8</f>
        <v>6881.37295455494</v>
      </c>
    </row>
    <row r="11" customFormat="false" ht="15" hidden="false" customHeight="true" outlineLevel="0" collapsed="false">
      <c r="B11" s="3" t="s">
        <v>134</v>
      </c>
    </row>
    <row r="12" customFormat="false" ht="15" hidden="false" customHeight="true" outlineLevel="0" collapsed="false">
      <c r="B12" s="14"/>
      <c r="C12" s="14" t="s">
        <v>126</v>
      </c>
      <c r="D12" s="14" t="s">
        <v>127</v>
      </c>
      <c r="E12" s="14" t="s">
        <v>128</v>
      </c>
    </row>
    <row r="13" customFormat="false" ht="15" hidden="false" customHeight="true" outlineLevel="0" collapsed="false">
      <c r="B13" s="4" t="s">
        <v>135</v>
      </c>
      <c r="C13" s="15" t="n">
        <f aca="false">'Sources &amp; Uses'!C9+'Sources &amp; Uses'!C8</f>
        <v>4028.18</v>
      </c>
      <c r="D13" s="15" t="n">
        <f aca="false">'Sources &amp; Uses'!C9+'Sources &amp; Uses'!C8</f>
        <v>4028.18</v>
      </c>
      <c r="E13" s="15" t="n">
        <f aca="false">'Sources &amp; Uses'!C9+'Sources &amp; Uses'!C8</f>
        <v>4028.18</v>
      </c>
    </row>
    <row r="14" customFormat="false" ht="15" hidden="false" customHeight="true" outlineLevel="0" collapsed="false">
      <c r="B14" s="4" t="s">
        <v>133</v>
      </c>
      <c r="C14" s="8" t="n">
        <f aca="false">C9</f>
        <v>4724.65049209671</v>
      </c>
      <c r="D14" s="8" t="n">
        <f aca="false">D9</f>
        <v>6162.46546706886</v>
      </c>
      <c r="E14" s="8" t="n">
        <f aca="false">E9</f>
        <v>6881.37295455494</v>
      </c>
    </row>
    <row r="15" customFormat="false" ht="15" hidden="false" customHeight="true" outlineLevel="0" collapsed="false">
      <c r="B15" s="4" t="s">
        <v>136</v>
      </c>
      <c r="C15" s="30" t="n">
        <f aca="false">C14/C13</f>
        <v>1.17289954572455</v>
      </c>
      <c r="D15" s="30" t="n">
        <f aca="false">D14/D13</f>
        <v>1.52983865345363</v>
      </c>
      <c r="E15" s="30" t="n">
        <f aca="false">E14/E13</f>
        <v>1.70830820731818</v>
      </c>
    </row>
    <row r="16" customFormat="false" ht="15" hidden="false" customHeight="true" outlineLevel="0" collapsed="false">
      <c r="B16" s="4" t="s">
        <v>137</v>
      </c>
      <c r="C16" s="31" t="n">
        <f aca="false">C32</f>
        <v>0.032409907561691</v>
      </c>
      <c r="D16" s="31" t="n">
        <f aca="false">D32</f>
        <v>0.0887524014937135</v>
      </c>
      <c r="E16" s="31" t="n">
        <f aca="false">E32</f>
        <v>0.113046338909845</v>
      </c>
    </row>
    <row r="18" customFormat="false" ht="15" hidden="false" customHeight="true" outlineLevel="0" collapsed="false">
      <c r="B18" s="3" t="s">
        <v>138</v>
      </c>
    </row>
    <row r="19" customFormat="false" ht="15" hidden="false" customHeight="true" outlineLevel="0" collapsed="false">
      <c r="B19" s="4" t="s">
        <v>139</v>
      </c>
      <c r="C19" s="15" t="n">
        <f aca="false">D13</f>
        <v>4028.18</v>
      </c>
    </row>
    <row r="20" customFormat="false" ht="15" hidden="false" customHeight="true" outlineLevel="0" collapsed="false">
      <c r="B20" s="4" t="s">
        <v>140</v>
      </c>
      <c r="C20" s="8" t="n">
        <f aca="false">(D5-Assumptions!C22)*D6</f>
        <v>3058.42728726327</v>
      </c>
    </row>
    <row r="21" customFormat="false" ht="15" hidden="false" customHeight="true" outlineLevel="0" collapsed="false">
      <c r="B21" s="4" t="s">
        <v>141</v>
      </c>
      <c r="C21" s="8" t="n">
        <f aca="false">Assumptions!C22*(D6-Assumptions!C31)</f>
        <v>-715.180000000001</v>
      </c>
    </row>
    <row r="22" customFormat="false" ht="15" hidden="false" customHeight="true" outlineLevel="0" collapsed="false">
      <c r="B22" s="4" t="s">
        <v>142</v>
      </c>
      <c r="C22" s="8" t="n">
        <f aca="false">'Debt Schedule'!C37-'Debt Schedule'!H37</f>
        <v>241.03817980559</v>
      </c>
    </row>
    <row r="23" customFormat="false" ht="15" hidden="false" customHeight="true" outlineLevel="0" collapsed="false">
      <c r="B23" s="32" t="s">
        <v>143</v>
      </c>
      <c r="C23" s="33" t="n">
        <f aca="false">D9-SUM(C19:C22)</f>
        <v>-450</v>
      </c>
    </row>
    <row r="24" customFormat="false" ht="15" hidden="false" customHeight="true" outlineLevel="0" collapsed="false">
      <c r="B24" s="34" t="s">
        <v>144</v>
      </c>
      <c r="C24" s="35" t="n">
        <f aca="false">SUM(C19:C23)</f>
        <v>6162.46546706886</v>
      </c>
    </row>
    <row r="25" customFormat="false" ht="15" hidden="false" customHeight="true" outlineLevel="0" collapsed="false">
      <c r="B25" s="32" t="s">
        <v>145</v>
      </c>
      <c r="C25" s="33" t="n">
        <f aca="false">C24-D9</f>
        <v>0</v>
      </c>
    </row>
    <row r="26" customFormat="false" ht="15" hidden="false" customHeight="true" outlineLevel="0" collapsed="false">
      <c r="B26" s="4"/>
      <c r="C26" s="8"/>
    </row>
    <row r="27" customFormat="false" ht="15" hidden="false" customHeight="true" outlineLevel="0" collapsed="false">
      <c r="B27" s="27" t="s">
        <v>146</v>
      </c>
    </row>
    <row r="28" customFormat="false" ht="15" hidden="false" customHeight="true" outlineLevel="0" collapsed="false">
      <c r="C28" s="36" t="s">
        <v>147</v>
      </c>
      <c r="D28" s="36" t="s">
        <v>76</v>
      </c>
      <c r="E28" s="36" t="s">
        <v>77</v>
      </c>
      <c r="F28" s="36" t="s">
        <v>78</v>
      </c>
      <c r="G28" s="36" t="s">
        <v>79</v>
      </c>
      <c r="H28" s="36" t="s">
        <v>80</v>
      </c>
    </row>
    <row r="29" customFormat="false" ht="15" hidden="false" customHeight="true" outlineLevel="0" collapsed="false">
      <c r="B29" s="4" t="s">
        <v>148</v>
      </c>
      <c r="C29" s="8" t="n">
        <f aca="false">-C13</f>
        <v>-4028.18</v>
      </c>
      <c r="D29" s="22" t="n">
        <v>0</v>
      </c>
      <c r="E29" s="22" t="n">
        <v>0</v>
      </c>
      <c r="F29" s="22" t="n">
        <v>0</v>
      </c>
      <c r="G29" s="22" t="n">
        <v>0</v>
      </c>
      <c r="H29" s="8" t="n">
        <f aca="false">C9</f>
        <v>4724.65049209671</v>
      </c>
    </row>
    <row r="30" customFormat="false" ht="15" hidden="false" customHeight="true" outlineLevel="0" collapsed="false">
      <c r="B30" s="4" t="s">
        <v>149</v>
      </c>
      <c r="C30" s="8" t="n">
        <f aca="false">-D13</f>
        <v>-4028.18</v>
      </c>
      <c r="D30" s="22" t="n">
        <v>0</v>
      </c>
      <c r="E30" s="22" t="n">
        <v>0</v>
      </c>
      <c r="F30" s="22" t="n">
        <v>0</v>
      </c>
      <c r="G30" s="22" t="n">
        <v>0</v>
      </c>
      <c r="H30" s="8" t="n">
        <f aca="false">D9</f>
        <v>6162.46546706886</v>
      </c>
    </row>
    <row r="31" customFormat="false" ht="15" hidden="false" customHeight="true" outlineLevel="0" collapsed="false">
      <c r="B31" s="4" t="s">
        <v>150</v>
      </c>
      <c r="C31" s="8" t="n">
        <f aca="false">-E13</f>
        <v>-4028.18</v>
      </c>
      <c r="D31" s="22" t="n">
        <v>0</v>
      </c>
      <c r="E31" s="22" t="n">
        <v>0</v>
      </c>
      <c r="F31" s="22" t="n">
        <v>0</v>
      </c>
      <c r="G31" s="22" t="n">
        <v>0</v>
      </c>
      <c r="H31" s="8" t="n">
        <f aca="false">E9</f>
        <v>6881.37295455494</v>
      </c>
    </row>
    <row r="32" customFormat="false" ht="15" hidden="false" customHeight="true" outlineLevel="0" collapsed="false">
      <c r="B32" s="4" t="s">
        <v>151</v>
      </c>
      <c r="C32" s="31" t="n">
        <f aca="false">IFERROR(IRR(C29:H29),0)</f>
        <v>0.032409907561691</v>
      </c>
      <c r="D32" s="31" t="n">
        <f aca="false">IFERROR(IRR(C30:H30),0)</f>
        <v>0.0887524014937135</v>
      </c>
      <c r="E32" s="31" t="n">
        <f aca="false">IFERROR(IRR(C31:H31),0)</f>
        <v>0.113046338909845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B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9" min="3" style="1" width="14"/>
  </cols>
  <sheetData>
    <row r="1" customFormat="false" ht="17.25" hidden="false" customHeight="true" outlineLevel="0" collapsed="false">
      <c r="B1" s="2" t="s">
        <v>152</v>
      </c>
    </row>
    <row r="3" customFormat="false" ht="15" hidden="false" customHeight="true" outlineLevel="0" collapsed="false">
      <c r="B3" s="3" t="s">
        <v>153</v>
      </c>
    </row>
    <row r="4" customFormat="false" ht="15" hidden="false" customHeight="true" outlineLevel="0" collapsed="false">
      <c r="B4" s="37" t="s">
        <v>154</v>
      </c>
      <c r="C4" s="38" t="n">
        <v>7</v>
      </c>
      <c r="D4" s="38" t="n">
        <v>7.5</v>
      </c>
      <c r="E4" s="38" t="n">
        <v>8</v>
      </c>
      <c r="F4" s="38" t="n">
        <v>8.5</v>
      </c>
      <c r="G4" s="38" t="n">
        <v>9</v>
      </c>
      <c r="H4" s="38" t="n">
        <v>9.5</v>
      </c>
      <c r="I4" s="38" t="n">
        <v>10</v>
      </c>
    </row>
    <row r="5" customFormat="false" ht="15" hidden="false" customHeight="true" outlineLevel="0" collapsed="false">
      <c r="B5" s="39" t="n">
        <v>0.06</v>
      </c>
      <c r="C5" s="11" t="n">
        <f aca="false">IFERROR((('Operating Model'!H5*$B5*C$4-'Debt Schedule'!H37)/('Sources &amp; Uses'!C9+'Sources &amp; Uses'!C8))^(1/5)-1,0)</f>
        <v>-0.103839654222535</v>
      </c>
      <c r="D5" s="11" t="n">
        <f aca="false">IFERROR((('Operating Model'!H5*$B5*D$4-'Debt Schedule'!H37)/('Sources &amp; Uses'!C9+'Sources &amp; Uses'!C8))^(1/5)-1,0)</f>
        <v>-0.0618460766427396</v>
      </c>
      <c r="E5" s="11" t="n">
        <f aca="false">IFERROR((('Operating Model'!H5*$B5*E$4-'Debt Schedule'!H37)/('Sources &amp; Uses'!C9+'Sources &amp; Uses'!C8))^(1/5)-1,0)</f>
        <v>-0.0262526290599162</v>
      </c>
      <c r="F5" s="11" t="n">
        <f aca="false">IFERROR((('Operating Model'!H5*$B5*F$4-'Debt Schedule'!H37)/('Sources &amp; Uses'!C9+'Sources &amp; Uses'!C8))^(1/5)-1,0)</f>
        <v>0.00478889626689072</v>
      </c>
      <c r="G5" s="11" t="n">
        <f aca="false">IFERROR((('Operating Model'!H5*$B5*G$4-'Debt Schedule'!H37)/('Sources &amp; Uses'!C9+'Sources &amp; Uses'!C8))^(1/5)-1,0)</f>
        <v>0.032409907561691</v>
      </c>
      <c r="H5" s="11" t="n">
        <f aca="false">IFERROR((('Operating Model'!H5*$B5*H$4-'Debt Schedule'!H37)/('Sources &amp; Uses'!C9+'Sources &amp; Uses'!C8))^(1/5)-1,0)</f>
        <v>0.057356878192242</v>
      </c>
      <c r="I5" s="11" t="n">
        <f aca="false">IFERROR((('Operating Model'!H5*$B5*I$4-'Debt Schedule'!H37)/('Sources &amp; Uses'!C9+'Sources &amp; Uses'!C8))^(1/5)-1,0)</f>
        <v>0.0801500110444315</v>
      </c>
    </row>
    <row r="6" customFormat="false" ht="15" hidden="false" customHeight="true" outlineLevel="0" collapsed="false">
      <c r="B6" s="39" t="n">
        <v>0.065</v>
      </c>
      <c r="C6" s="11" t="n">
        <f aca="false">IFERROR((('Operating Model'!H5*$B6*C$4-'Debt Schedule'!H37)/('Sources &amp; Uses'!C9+'Sources &amp; Uses'!C8))^(1/5)-1,0)</f>
        <v>-0.0555318629507191</v>
      </c>
      <c r="D6" s="11" t="n">
        <f aca="false">IFERROR((('Operating Model'!H5*$B6*D$4-'Debt Schedule'!H37)/('Sources &amp; Uses'!C9+'Sources &amp; Uses'!C8))^(1/5)-1,0)</f>
        <v>-0.0181184809678251</v>
      </c>
      <c r="E6" s="11" t="n">
        <f aca="false">IFERROR((('Operating Model'!H5*$B6*E$4-'Debt Schedule'!H37)/('Sources &amp; Uses'!C9+'Sources &amp; Uses'!C8))^(1/5)-1,0)</f>
        <v>0.0143331488947451</v>
      </c>
      <c r="F6" s="11" t="n">
        <f aca="false">IFERROR((('Operating Model'!H5*$B6*F$4-'Debt Schedule'!H37)/('Sources &amp; Uses'!C9+'Sources &amp; Uses'!C8))^(1/5)-1,0)</f>
        <v>0.0430956090403869</v>
      </c>
      <c r="G6" s="11" t="n">
        <f aca="false">IFERROR((('Operating Model'!H5*$B6*G$4-'Debt Schedule'!H37)/('Sources &amp; Uses'!C9+'Sources &amp; Uses'!C8))^(1/5)-1,0)</f>
        <v>0.068996400690599</v>
      </c>
      <c r="H6" s="11" t="n">
        <f aca="false">IFERROR((('Operating Model'!H5*$B6*H$4-'Debt Schedule'!H37)/('Sources &amp; Uses'!C9+'Sources &amp; Uses'!C8))^(1/5)-1,0)</f>
        <v>0.0926059737594551</v>
      </c>
      <c r="I6" s="11" t="n">
        <f aca="false">IFERROR((('Operating Model'!H5*$B6*I$4-'Debt Schedule'!H37)/('Sources &amp; Uses'!C9+'Sources &amp; Uses'!C8))^(1/5)-1,0)</f>
        <v>0.11433536802277</v>
      </c>
    </row>
    <row r="7" customFormat="false" ht="15" hidden="false" customHeight="true" outlineLevel="0" collapsed="false">
      <c r="B7" s="39" t="n">
        <v>0.068</v>
      </c>
      <c r="C7" s="11" t="n">
        <f aca="false">IFERROR((('Operating Model'!H5*$B7*C$4-'Debt Schedule'!H37)/('Sources &amp; Uses'!C9+'Sources &amp; Uses'!C8))^(1/5)-1,0)</f>
        <v>-0.0307044477559582</v>
      </c>
      <c r="D7" s="11" t="n">
        <f aca="false">IFERROR((('Operating Model'!H5*$B7*D$4-'Debt Schedule'!H37)/('Sources &amp; Uses'!C9+'Sources &amp; Uses'!C8))^(1/5)-1,0)</f>
        <v>0.00478889626689072</v>
      </c>
      <c r="E7" s="11" t="n">
        <f aca="false">IFERROR((('Operating Model'!H5*$B7*E$4-'Debt Schedule'!H37)/('Sources &amp; Uses'!C9+'Sources &amp; Uses'!C8))^(1/5)-1,0)</f>
        <v>0.0358774807027356</v>
      </c>
      <c r="F7" s="11" t="n">
        <f aca="false">IFERROR((('Operating Model'!H5*$B7*F$4-'Debt Schedule'!H37)/('Sources &amp; Uses'!C9+'Sources &amp; Uses'!C8))^(1/5)-1,0)</f>
        <v>0.0636279783688634</v>
      </c>
      <c r="G7" s="11" t="n">
        <f aca="false">IFERROR((('Operating Model'!H5*$B7*G$4-'Debt Schedule'!H37)/('Sources &amp; Uses'!C9+'Sources &amp; Uses'!C8))^(1/5)-1,0)</f>
        <v>0.0887524014937136</v>
      </c>
      <c r="H7" s="11" t="n">
        <f aca="false">IFERROR((('Operating Model'!H5*$B7*H$4-'Debt Schedule'!H37)/('Sources &amp; Uses'!C9+'Sources &amp; Uses'!C8))^(1/5)-1,0)</f>
        <v>0.111751310640527</v>
      </c>
      <c r="I7" s="11" t="n">
        <f aca="false">IFERROR((('Operating Model'!H5*$B7*I$4-'Debt Schedule'!H37)/('Sources &amp; Uses'!C9+'Sources &amp; Uses'!C8))^(1/5)-1,0)</f>
        <v>0.132990936128307</v>
      </c>
    </row>
    <row r="8" customFormat="false" ht="15" hidden="false" customHeight="true" outlineLevel="0" collapsed="false">
      <c r="B8" s="39" t="n">
        <v>0.07</v>
      </c>
      <c r="C8" s="11" t="n">
        <f aca="false">IFERROR((('Operating Model'!H5*$B8*C$4-'Debt Schedule'!H37)/('Sources &amp; Uses'!C9+'Sources &amp; Uses'!C8))^(1/5)-1,0)</f>
        <v>-0.0154660206825754</v>
      </c>
      <c r="D8" s="11" t="n">
        <f aca="false">IFERROR((('Operating Model'!H5*$B8*D$4-'Debt Schedule'!H37)/('Sources &amp; Uses'!C9+'Sources &amp; Uses'!C8))^(1/5)-1,0)</f>
        <v>0.0189736559715714</v>
      </c>
      <c r="E8" s="11" t="n">
        <f aca="false">IFERROR((('Operating Model'!H5*$B8*E$4-'Debt Schedule'!H37)/('Sources &amp; Uses'!C9+'Sources &amp; Uses'!C8))^(1/5)-1,0)</f>
        <v>0.049302695539023</v>
      </c>
      <c r="F8" s="11" t="n">
        <f aca="false">IFERROR((('Operating Model'!H5*$B8*F$4-'Debt Schedule'!H37)/('Sources &amp; Uses'!C9+'Sources &amp; Uses'!C8))^(1/5)-1,0)</f>
        <v>0.0764833239164502</v>
      </c>
      <c r="G8" s="11" t="n">
        <f aca="false">IFERROR((('Operating Model'!H5*$B8*G$4-'Debt Schedule'!H37)/('Sources &amp; Uses'!C9+'Sources &amp; Uses'!C8))^(1/5)-1,0)</f>
        <v>0.101167307538006</v>
      </c>
      <c r="H8" s="11" t="n">
        <f aca="false">IFERROR((('Operating Model'!H5*$B8*H$4-'Debt Schedule'!H37)/('Sources &amp; Uses'!C9+'Sources &amp; Uses'!C8))^(1/5)-1,0)</f>
        <v>0.123817978863974</v>
      </c>
      <c r="I8" s="11" t="n">
        <f aca="false">IFERROR((('Operating Model'!H5*$B8*I$4-'Debt Schedule'!H37)/('Sources &amp; Uses'!C9+'Sources &amp; Uses'!C8))^(1/5)-1,0)</f>
        <v>0.144777310121631</v>
      </c>
    </row>
    <row r="9" customFormat="false" ht="15" hidden="false" customHeight="true" outlineLevel="0" collapsed="false">
      <c r="B9" s="39" t="n">
        <v>0.072</v>
      </c>
      <c r="C9" s="11" t="n">
        <f aca="false">IFERROR((('Operating Model'!H5*$B9*C$4-'Debt Schedule'!H37)/('Sources &amp; Uses'!C9+'Sources &amp; Uses'!C8))^(1/5)-1,0)</f>
        <v>-0.00111649195458607</v>
      </c>
      <c r="D9" s="11" t="n">
        <f aca="false">IFERROR((('Operating Model'!H5*$B9*D$4-'Debt Schedule'!H37)/('Sources &amp; Uses'!C9+'Sources &amp; Uses'!C8))^(1/5)-1,0)</f>
        <v>0.032409907561691</v>
      </c>
      <c r="E9" s="11" t="n">
        <f aca="false">IFERROR((('Operating Model'!H5*$B9*E$4-'Debt Schedule'!H37)/('Sources &amp; Uses'!C9+'Sources &amp; Uses'!C8))^(1/5)-1,0)</f>
        <v>0.0620740478327984</v>
      </c>
      <c r="F9" s="40" t="n">
        <f aca="false">IFERROR((('Operating Model'!H5*$B9*F$4-'Debt Schedule'!H37)/('Sources &amp; Uses'!C9+'Sources &amp; Uses'!C8))^(1/5)-1,0)</f>
        <v>0.0887524014937136</v>
      </c>
      <c r="G9" s="11" t="n">
        <f aca="false">IFERROR((('Operating Model'!H5*$B9*G$4-'Debt Schedule'!H37)/('Sources &amp; Uses'!C9+'Sources &amp; Uses'!C8))^(1/5)-1,0)</f>
        <v>0.113046338909845</v>
      </c>
      <c r="H9" s="11" t="n">
        <f aca="false">IFERROR((('Operating Model'!H5*$B9*H$4-'Debt Schedule'!H37)/('Sources &amp; Uses'!C9+'Sources &amp; Uses'!C8))^(1/5)-1,0)</f>
        <v>0.135387607644425</v>
      </c>
      <c r="I9" s="11" t="n">
        <f aca="false">IFERROR((('Operating Model'!H5*$B9*I$4-'Debt Schedule'!H37)/('Sources &amp; Uses'!C9+'Sources &amp; Uses'!C8))^(1/5)-1,0)</f>
        <v>0.156097370084072</v>
      </c>
    </row>
    <row r="10" customFormat="false" ht="15" hidden="false" customHeight="true" outlineLevel="0" collapsed="false">
      <c r="B10" s="39" t="n">
        <v>0.075</v>
      </c>
      <c r="C10" s="11" t="n">
        <f aca="false">IFERROR((('Operating Model'!H5*$B10*C$4-'Debt Schedule'!H37)/('Sources &amp; Uses'!C9+'Sources &amp; Uses'!C8))^(1/5)-1,0)</f>
        <v>0.0189736559715714</v>
      </c>
      <c r="D10" s="11" t="n">
        <f aca="false">IFERROR((('Operating Model'!H5*$B10*D$4-'Debt Schedule'!H37)/('Sources &amp; Uses'!C9+'Sources &amp; Uses'!C8))^(1/5)-1,0)</f>
        <v>0.0513394679076831</v>
      </c>
      <c r="E10" s="11" t="n">
        <f aca="false">IFERROR((('Operating Model'!H5*$B10*E$4-'Debt Schedule'!H37)/('Sources &amp; Uses'!C9+'Sources &amp; Uses'!C8))^(1/5)-1,0)</f>
        <v>0.0801500110444315</v>
      </c>
      <c r="F10" s="11" t="n">
        <f aca="false">IFERROR((('Operating Model'!H5*$B10*F$4-'Debt Schedule'!H37)/('Sources &amp; Uses'!C9+'Sources &amp; Uses'!C8))^(1/5)-1,0)</f>
        <v>0.106179023910598</v>
      </c>
      <c r="G10" s="11" t="n">
        <f aca="false">IFERROR((('Operating Model'!H5*$B10*G$4-'Debt Schedule'!H37)/('Sources &amp; Uses'!C9+'Sources &amp; Uses'!C8))^(1/5)-1,0)</f>
        <v>0.129966289183879</v>
      </c>
      <c r="H10" s="11" t="n">
        <f aca="false">IFERROR((('Operating Model'!H5*$B10*H$4-'Debt Schedule'!H37)/('Sources &amp; Uses'!C9+'Sources &amp; Uses'!C8))^(1/5)-1,0)</f>
        <v>0.151904364034248</v>
      </c>
      <c r="I10" s="11" t="n">
        <f aca="false">IFERROR((('Operating Model'!H5*$B10*I$4-'Debt Schedule'!H37)/('Sources &amp; Uses'!C9+'Sources &amp; Uses'!C8))^(1/5)-1,0)</f>
        <v>0.172288278538148</v>
      </c>
    </row>
    <row r="11" customFormat="false" ht="15" hidden="false" customHeight="true" outlineLevel="0" collapsed="false">
      <c r="B11" s="39" t="n">
        <v>0.08</v>
      </c>
      <c r="C11" s="11" t="n">
        <f aca="false">IFERROR((('Operating Model'!H5*$B11*C$4-'Debt Schedule'!H37)/('Sources &amp; Uses'!C9+'Sources &amp; Uses'!C8))^(1/5)-1,0)</f>
        <v>0.049302695539023</v>
      </c>
      <c r="D11" s="11" t="n">
        <f aca="false">IFERROR((('Operating Model'!H5*$B11*D$4-'Debt Schedule'!H37)/('Sources &amp; Uses'!C9+'Sources &amp; Uses'!C8))^(1/5)-1,0)</f>
        <v>0.0801500110444315</v>
      </c>
      <c r="E11" s="11" t="n">
        <f aca="false">IFERROR((('Operating Model'!H5*$B11*E$4-'Debt Schedule'!H37)/('Sources &amp; Uses'!C9+'Sources &amp; Uses'!C8))^(1/5)-1,0)</f>
        <v>0.107829593782452</v>
      </c>
      <c r="F11" s="11" t="n">
        <f aca="false">IFERROR((('Operating Model'!H5*$B11*F$4-'Debt Schedule'!H37)/('Sources &amp; Uses'!C9+'Sources &amp; Uses'!C8))^(1/5)-1,0)</f>
        <v>0.132990936128307</v>
      </c>
      <c r="G11" s="11" t="n">
        <f aca="false">IFERROR((('Operating Model'!H5*$B11*G$4-'Debt Schedule'!H37)/('Sources &amp; Uses'!C9+'Sources &amp; Uses'!C8))^(1/5)-1,0)</f>
        <v>0.156097370084072</v>
      </c>
      <c r="H11" s="11" t="n">
        <f aca="false">IFERROR((('Operating Model'!H5*$B11*H$4-'Debt Schedule'!H37)/('Sources &amp; Uses'!C9+'Sources &amp; Uses'!C8))^(1/5)-1,0)</f>
        <v>0.1774918134896</v>
      </c>
      <c r="I11" s="11" t="n">
        <f aca="false">IFERROR((('Operating Model'!H5*$B11*I$4-'Debt Schedule'!H37)/('Sources &amp; Uses'!C9+'Sources &amp; Uses'!C8))^(1/5)-1,0)</f>
        <v>0.197435661246112</v>
      </c>
    </row>
    <row r="14" customFormat="false" ht="15" hidden="false" customHeight="true" outlineLevel="0" collapsed="false">
      <c r="B14" s="3" t="s">
        <v>155</v>
      </c>
    </row>
    <row r="15" customFormat="false" ht="15" hidden="false" customHeight="true" outlineLevel="0" collapsed="false">
      <c r="B15" s="37" t="s">
        <v>156</v>
      </c>
      <c r="C15" s="38" t="n">
        <v>7</v>
      </c>
      <c r="D15" s="38" t="n">
        <v>7.5</v>
      </c>
      <c r="E15" s="38" t="n">
        <v>8</v>
      </c>
      <c r="F15" s="38" t="n">
        <v>8.5</v>
      </c>
      <c r="G15" s="38" t="n">
        <v>9</v>
      </c>
      <c r="H15" s="38" t="n">
        <v>9.5</v>
      </c>
      <c r="I15" s="38" t="n">
        <v>10</v>
      </c>
    </row>
    <row r="16" customFormat="false" ht="15" hidden="false" customHeight="true" outlineLevel="0" collapsed="false">
      <c r="B16" s="41" t="n">
        <v>4</v>
      </c>
      <c r="C16" s="13" t="n">
        <f aca="false">IFERROR(('Operating Model'!H8*C$15-'Debt Schedule'!H37)/(Assumptions!C18-Assumptions!C22*$B16),0)</f>
        <v>0.719657467888325</v>
      </c>
      <c r="D16" s="13" t="n">
        <f aca="false">IFERROR(('Operating Model'!H8*D$15-'Debt Schedule'!H37)/(Assumptions!C18-Assumptions!C22*$B16),0)</f>
        <v>0.848813817033713</v>
      </c>
      <c r="E16" s="13" t="n">
        <f aca="false">IFERROR(('Operating Model'!H8*E$15-'Debt Schedule'!H37)/(Assumptions!C18-Assumptions!C22*$B16),0)</f>
        <v>0.977970166179101</v>
      </c>
      <c r="F16" s="13" t="n">
        <f aca="false">IFERROR(('Operating Model'!H8*F$15-'Debt Schedule'!H37)/(Assumptions!C18-Assumptions!C22*$B16),0)</f>
        <v>1.10712651532449</v>
      </c>
      <c r="G16" s="13" t="n">
        <f aca="false">IFERROR(('Operating Model'!H8*G$15-'Debt Schedule'!H37)/(Assumptions!C18-Assumptions!C22*$B16),0)</f>
        <v>1.23628286446988</v>
      </c>
      <c r="H16" s="13" t="n">
        <f aca="false">IFERROR(('Operating Model'!H8*H$15-'Debt Schedule'!H37)/(Assumptions!C18-Assumptions!C22*$B16),0)</f>
        <v>1.36543921361526</v>
      </c>
      <c r="I16" s="13" t="n">
        <f aca="false">IFERROR(('Operating Model'!H8*I$15-'Debt Schedule'!H37)/(Assumptions!C18-Assumptions!C22*$B16),0)</f>
        <v>1.49459556276065</v>
      </c>
    </row>
    <row r="17" customFormat="false" ht="15" hidden="false" customHeight="true" outlineLevel="0" collapsed="false">
      <c r="B17" s="41" t="n">
        <v>4.5</v>
      </c>
      <c r="C17" s="13" t="n">
        <f aca="false">IFERROR(('Operating Model'!H8*C$15-'Debt Schedule'!H37)/(Assumptions!C18-Assumptions!C22*$B17),0)</f>
        <v>0.796817103149408</v>
      </c>
      <c r="D17" s="13" t="n">
        <f aca="false">IFERROR(('Operating Model'!H8*D$15-'Debt Schedule'!H37)/(Assumptions!C18-Assumptions!C22*$B17),0)</f>
        <v>0.939821230211911</v>
      </c>
      <c r="E17" s="13" t="n">
        <f aca="false">IFERROR(('Operating Model'!H8*E$15-'Debt Schedule'!H37)/(Assumptions!C18-Assumptions!C22*$B17),0)</f>
        <v>1.08282535727441</v>
      </c>
      <c r="F17" s="13" t="n">
        <f aca="false">IFERROR(('Operating Model'!H8*F$15-'Debt Schedule'!H37)/(Assumptions!C18-Assumptions!C22*$B17),0)</f>
        <v>1.22582948433692</v>
      </c>
      <c r="G17" s="13" t="n">
        <f aca="false">IFERROR(('Operating Model'!H8*G$15-'Debt Schedule'!H37)/(Assumptions!C18-Assumptions!C22*$B17),0)</f>
        <v>1.36883361139942</v>
      </c>
      <c r="H17" s="13" t="n">
        <f aca="false">IFERROR(('Operating Model'!H8*H$15-'Debt Schedule'!H37)/(Assumptions!C18-Assumptions!C22*$B17),0)</f>
        <v>1.51183773846192</v>
      </c>
      <c r="I17" s="13" t="n">
        <f aca="false">IFERROR(('Operating Model'!H8*I$15-'Debt Schedule'!H37)/(Assumptions!C18-Assumptions!C22*$B17),0)</f>
        <v>1.65484186552443</v>
      </c>
    </row>
    <row r="18" customFormat="false" ht="15" hidden="false" customHeight="true" outlineLevel="0" collapsed="false">
      <c r="B18" s="41" t="n">
        <v>5</v>
      </c>
      <c r="C18" s="13" t="n">
        <f aca="false">IFERROR(('Operating Model'!H8*C$15-'Debt Schedule'!H37)/(Assumptions!C18-Assumptions!C22*$B18),0)</f>
        <v>0.892509436923349</v>
      </c>
      <c r="D18" s="13" t="n">
        <f aca="false">IFERROR(('Operating Model'!H8*D$15-'Debt Schedule'!H37)/(Assumptions!C18-Assumptions!C22*$B18),0)</f>
        <v>1.05268739045598</v>
      </c>
      <c r="E18" s="13" t="n">
        <f aca="false">IFERROR(('Operating Model'!H8*E$15-'Debt Schedule'!H37)/(Assumptions!C18-Assumptions!C22*$B18),0)</f>
        <v>1.21286534398861</v>
      </c>
      <c r="F18" s="13" t="n">
        <f aca="false">IFERROR(('Operating Model'!H8*F$15-'Debt Schedule'!H37)/(Assumptions!C18-Assumptions!C22*$B18),0)</f>
        <v>1.37304329752124</v>
      </c>
      <c r="G18" s="13" t="n">
        <f aca="false">IFERROR(('Operating Model'!H8*G$15-'Debt Schedule'!H37)/(Assumptions!C18-Assumptions!C22*$B18),0)</f>
        <v>1.53322125105387</v>
      </c>
      <c r="H18" s="13" t="n">
        <f aca="false">IFERROR(('Operating Model'!H8*H$15-'Debt Schedule'!H37)/(Assumptions!C18-Assumptions!C22*$B18),0)</f>
        <v>1.69339920458649</v>
      </c>
      <c r="I18" s="13" t="n">
        <f aca="false">IFERROR(('Operating Model'!H8*I$15-'Debt Schedule'!H37)/(Assumptions!C18-Assumptions!C22*$B18),0)</f>
        <v>1.85357715811912</v>
      </c>
    </row>
    <row r="19" customFormat="false" ht="15" hidden="false" customHeight="true" outlineLevel="0" collapsed="false">
      <c r="B19" s="41" t="n">
        <v>5.5</v>
      </c>
      <c r="C19" s="13" t="n">
        <f aca="false">IFERROR(('Operating Model'!H8*C$15-'Debt Schedule'!H37)/(Assumptions!C18-Assumptions!C22*$B19),0)</f>
        <v>1.01432272132712</v>
      </c>
      <c r="D19" s="13" t="n">
        <f aca="false">IFERROR(('Operating Model'!H8*D$15-'Debt Schedule'!H37)/(Assumptions!C18-Assumptions!C22*$B19),0)</f>
        <v>1.19636240741033</v>
      </c>
      <c r="E19" s="13" t="n">
        <f aca="false">IFERROR(('Operating Model'!H8*E$15-'Debt Schedule'!H37)/(Assumptions!C18-Assumptions!C22*$B19),0)</f>
        <v>1.37840209349353</v>
      </c>
      <c r="F19" s="13" t="n">
        <f aca="false">IFERROR(('Operating Model'!H8*F$15-'Debt Schedule'!H37)/(Assumptions!C18-Assumptions!C22*$B19),0)</f>
        <v>1.56044177957674</v>
      </c>
      <c r="G19" s="13" t="n">
        <f aca="false">IFERROR(('Operating Model'!H8*G$15-'Debt Schedule'!H37)/(Assumptions!C18-Assumptions!C22*$B19),0)</f>
        <v>1.74248146565994</v>
      </c>
      <c r="H19" s="13" t="n">
        <f aca="false">IFERROR(('Operating Model'!H8*H$15-'Debt Schedule'!H37)/(Assumptions!C18-Assumptions!C22*$B19),0)</f>
        <v>1.92452115174315</v>
      </c>
      <c r="I19" s="13" t="n">
        <f aca="false">IFERROR(('Operating Model'!H8*I$15-'Debt Schedule'!H37)/(Assumptions!C18-Assumptions!C22*$B19),0)</f>
        <v>2.10656083782636</v>
      </c>
    </row>
    <row r="20" customFormat="false" ht="15" hidden="false" customHeight="true" outlineLevel="0" collapsed="false">
      <c r="B20" s="41" t="n">
        <v>6</v>
      </c>
      <c r="C20" s="13" t="n">
        <f aca="false">IFERROR(('Operating Model'!H8*C$15-'Debt Schedule'!H37)/(Assumptions!C18-Assumptions!C22*$B20),0)</f>
        <v>1.17464268883479</v>
      </c>
      <c r="D20" s="13" t="n">
        <f aca="false">IFERROR(('Operating Model'!H8*D$15-'Debt Schedule'!H37)/(Assumptions!C18-Assumptions!C22*$B20),0)</f>
        <v>1.38545487103224</v>
      </c>
      <c r="E20" s="13" t="n">
        <f aca="false">IFERROR(('Operating Model'!H8*E$15-'Debt Schedule'!H37)/(Assumptions!C18-Assumptions!C22*$B20),0)</f>
        <v>1.59626705322968</v>
      </c>
      <c r="F20" s="13" t="n">
        <f aca="false">IFERROR(('Operating Model'!H8*F$15-'Debt Schedule'!H37)/(Assumptions!C18-Assumptions!C22*$B20),0)</f>
        <v>1.80707923542712</v>
      </c>
      <c r="G20" s="13" t="n">
        <f aca="false">IFERROR(('Operating Model'!H8*G$15-'Debt Schedule'!H37)/(Assumptions!C18-Assumptions!C22*$B20),0)</f>
        <v>2.01789141762456</v>
      </c>
      <c r="H20" s="13" t="n">
        <f aca="false">IFERROR(('Operating Model'!H8*H$15-'Debt Schedule'!H37)/(Assumptions!C18-Assumptions!C22*$B20),0)</f>
        <v>2.22870359982201</v>
      </c>
      <c r="I20" s="13" t="n">
        <f aca="false">IFERROR(('Operating Model'!H8*I$15-'Debt Schedule'!H37)/(Assumptions!C18-Assumptions!C22*$B20),0)</f>
        <v>2.43951578201945</v>
      </c>
    </row>
    <row r="21" customFormat="false" ht="15" hidden="false" customHeight="true" outlineLevel="0" collapsed="false">
      <c r="B21" s="41" t="n">
        <v>6.5</v>
      </c>
      <c r="C21" s="13" t="n">
        <f aca="false">IFERROR(('Operating Model'!H8*C$15-'Debt Schedule'!H37)/(Assumptions!C18-Assumptions!C22*$B21),0)</f>
        <v>1.39515565189596</v>
      </c>
      <c r="D21" s="13" t="n">
        <f aca="false">IFERROR(('Operating Model'!H8*D$15-'Debt Schedule'!H37)/(Assumptions!C18-Assumptions!C22*$B21),0)</f>
        <v>1.64554311889074</v>
      </c>
      <c r="E21" s="13" t="n">
        <f aca="false">IFERROR(('Operating Model'!H8*E$15-'Debt Schedule'!H37)/(Assumptions!C18-Assumptions!C22*$B21),0)</f>
        <v>1.89593058588552</v>
      </c>
      <c r="F21" s="13" t="n">
        <f aca="false">IFERROR(('Operating Model'!H8*F$15-'Debt Schedule'!H37)/(Assumptions!C18-Assumptions!C22*$B21),0)</f>
        <v>2.1463180528803</v>
      </c>
      <c r="G21" s="13" t="n">
        <f aca="false">IFERROR(('Operating Model'!H8*G$15-'Debt Schedule'!H37)/(Assumptions!C18-Assumptions!C22*$B21),0)</f>
        <v>2.39670551987508</v>
      </c>
      <c r="H21" s="13" t="n">
        <f aca="false">IFERROR(('Operating Model'!H8*H$15-'Debt Schedule'!H37)/(Assumptions!C18-Assumptions!C22*$B21),0)</f>
        <v>2.64709298686986</v>
      </c>
      <c r="I21" s="13" t="n">
        <f aca="false">IFERROR(('Operating Model'!H8*I$15-'Debt Schedule'!H37)/(Assumptions!C18-Assumptions!C22*$B21),0)</f>
        <v>2.89748045386464</v>
      </c>
    </row>
    <row r="22" customFormat="false" ht="15" hidden="false" customHeight="true" outlineLevel="0" collapsed="false">
      <c r="B22" s="41" t="n">
        <v>7</v>
      </c>
      <c r="C22" s="13" t="n">
        <f aca="false">IFERROR(('Operating Model'!H8*C$15-'Debt Schedule'!H37)/(Assumptions!C18-Assumptions!C22*$B22),0)</f>
        <v>1.71759598513435</v>
      </c>
      <c r="D22" s="13" t="n">
        <f aca="false">IFERROR(('Operating Model'!H8*D$15-'Debt Schedule'!H37)/(Assumptions!C18-Assumptions!C22*$B22),0)</f>
        <v>2.02585156038415</v>
      </c>
      <c r="E22" s="13" t="n">
        <f aca="false">IFERROR(('Operating Model'!H8*E$15-'Debt Schedule'!H37)/(Assumptions!C18-Assumptions!C22*$B22),0)</f>
        <v>2.33410713563395</v>
      </c>
      <c r="F22" s="13" t="n">
        <f aca="false">IFERROR(('Operating Model'!H8*F$15-'Debt Schedule'!H37)/(Assumptions!C18-Assumptions!C22*$B22),0)</f>
        <v>2.64236271088375</v>
      </c>
      <c r="G22" s="13" t="n">
        <f aca="false">IFERROR(('Operating Model'!H8*G$15-'Debt Schedule'!H37)/(Assumptions!C18-Assumptions!C22*$B22),0)</f>
        <v>2.95061828613355</v>
      </c>
      <c r="H22" s="13" t="n">
        <f aca="false">IFERROR(('Operating Model'!H8*H$15-'Debt Schedule'!H37)/(Assumptions!C18-Assumptions!C22*$B22),0)</f>
        <v>3.25887386138335</v>
      </c>
      <c r="I22" s="13" t="n">
        <f aca="false">IFERROR(('Operating Model'!H8*I$15-'Debt Schedule'!H37)/(Assumptions!C18-Assumptions!C22*$B22),0)</f>
        <v>3.56712943663314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B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8" min="3" style="1" width="14"/>
  </cols>
  <sheetData>
    <row r="1" customFormat="false" ht="17.25" hidden="false" customHeight="true" outlineLevel="0" collapsed="false">
      <c r="B1" s="2" t="s">
        <v>157</v>
      </c>
    </row>
    <row r="3" customFormat="false" ht="15" hidden="false" customHeight="true" outlineLevel="0" collapsed="false">
      <c r="B3" s="3" t="s">
        <v>158</v>
      </c>
    </row>
    <row r="4" customFormat="false" ht="15" hidden="false" customHeight="true" outlineLevel="0" collapsed="false">
      <c r="B4" s="14"/>
      <c r="C4" s="14" t="s">
        <v>94</v>
      </c>
      <c r="D4" s="14" t="s">
        <v>76</v>
      </c>
      <c r="E4" s="14" t="s">
        <v>77</v>
      </c>
      <c r="F4" s="14" t="s">
        <v>78</v>
      </c>
      <c r="G4" s="14" t="s">
        <v>79</v>
      </c>
      <c r="H4" s="14" t="s">
        <v>80</v>
      </c>
    </row>
    <row r="5" customFormat="false" ht="15" hidden="false" customHeight="true" outlineLevel="0" collapsed="false">
      <c r="B5" s="4" t="s">
        <v>38</v>
      </c>
      <c r="C5" s="15" t="n">
        <f aca="false">'Operating Model'!C5</f>
        <v>17565</v>
      </c>
      <c r="D5" s="15" t="n">
        <f aca="false">'Operating Model'!D5</f>
        <v>18004.125</v>
      </c>
      <c r="E5" s="15" t="n">
        <f aca="false">'Operating Model'!E5</f>
        <v>18544.24875</v>
      </c>
      <c r="F5" s="15" t="n">
        <f aca="false">'Operating Model'!F5</f>
        <v>19100.5762125</v>
      </c>
      <c r="G5" s="15" t="n">
        <f aca="false">'Operating Model'!G5</f>
        <v>19578.0906178125</v>
      </c>
      <c r="H5" s="15" t="n">
        <f aca="false">'Operating Model'!H5</f>
        <v>19969.6524301687</v>
      </c>
    </row>
    <row r="6" customFormat="false" ht="15" hidden="false" customHeight="true" outlineLevel="0" collapsed="false">
      <c r="B6" s="4" t="s">
        <v>40</v>
      </c>
      <c r="C6" s="15" t="n">
        <f aca="false">'Operating Model'!C8</f>
        <v>1078</v>
      </c>
      <c r="D6" s="15" t="n">
        <f aca="false">'Operating Model'!D8</f>
        <v>1116.25575</v>
      </c>
      <c r="E6" s="15" t="n">
        <f aca="false">'Operating Model'!E8</f>
        <v>1205.37616875</v>
      </c>
      <c r="F6" s="15" t="n">
        <f aca="false">'Operating Model'!F8</f>
        <v>1298.83918245</v>
      </c>
      <c r="G6" s="15" t="n">
        <f aca="false">'Operating Model'!G8</f>
        <v>1370.46634324687</v>
      </c>
      <c r="H6" s="15" t="n">
        <f aca="false">'Operating Model'!H8</f>
        <v>1437.81497497215</v>
      </c>
    </row>
    <row r="7" customFormat="false" ht="15" hidden="false" customHeight="true" outlineLevel="0" collapsed="false">
      <c r="B7" s="4" t="s">
        <v>42</v>
      </c>
      <c r="C7" s="42" t="n">
        <f aca="false">'Operating Model'!C8/'Operating Model'!C5</f>
        <v>0.0613720466837461</v>
      </c>
      <c r="D7" s="42" t="n">
        <f aca="false">'Operating Model'!D8/'Operating Model'!D5</f>
        <v>0.062</v>
      </c>
      <c r="E7" s="42" t="n">
        <f aca="false">'Operating Model'!E8/'Operating Model'!E5</f>
        <v>0.065</v>
      </c>
      <c r="F7" s="42" t="n">
        <f aca="false">'Operating Model'!F8/'Operating Model'!F5</f>
        <v>0.068</v>
      </c>
      <c r="G7" s="42" t="n">
        <f aca="false">'Operating Model'!G8/'Operating Model'!G5</f>
        <v>0.07</v>
      </c>
      <c r="H7" s="42" t="n">
        <f aca="false">'Operating Model'!H8/'Operating Model'!H5</f>
        <v>0.072</v>
      </c>
    </row>
    <row r="8" customFormat="false" ht="15" hidden="false" customHeight="true" outlineLevel="0" collapsed="false">
      <c r="B8" s="4" t="s">
        <v>159</v>
      </c>
      <c r="C8" s="15" t="n">
        <f aca="false">'Debt Schedule'!C37</f>
        <v>6300</v>
      </c>
      <c r="D8" s="15" t="n">
        <f aca="false">'Debt Schedule'!D37</f>
        <v>6282.95540625</v>
      </c>
      <c r="E8" s="15" t="n">
        <f aca="false">'Debt Schedule'!E37</f>
        <v>6248.79412306641</v>
      </c>
      <c r="F8" s="15" t="n">
        <f aca="false">'Debt Schedule'!F37</f>
        <v>6196.00688525182</v>
      </c>
      <c r="G8" s="15" t="n">
        <f aca="false">'Debt Schedule'!G37</f>
        <v>6132.07759092083</v>
      </c>
      <c r="H8" s="15" t="n">
        <f aca="false">'Debt Schedule'!H37</f>
        <v>6058.96182019441</v>
      </c>
    </row>
    <row r="9" customFormat="false" ht="15" hidden="false" customHeight="true" outlineLevel="0" collapsed="false">
      <c r="B9" s="4" t="s">
        <v>71</v>
      </c>
      <c r="C9" s="29" t="n">
        <f aca="false">'Debt Schedule'!C37/'Operating Model'!C8</f>
        <v>5.84415584415584</v>
      </c>
      <c r="D9" s="29" t="n">
        <f aca="false">IFERROR('Debt Schedule'!D37/'Operating Model'!D8,0)</f>
        <v>5.62859846970553</v>
      </c>
      <c r="E9" s="29" t="n">
        <f aca="false">IFERROR('Debt Schedule'!E37/'Operating Model'!E8,0)</f>
        <v>5.18410292576676</v>
      </c>
      <c r="F9" s="29" t="n">
        <f aca="false">IFERROR('Debt Schedule'!F37/'Operating Model'!F8,0)</f>
        <v>4.77041882395655</v>
      </c>
      <c r="G9" s="29" t="n">
        <f aca="false">IFERROR('Debt Schedule'!G37/'Operating Model'!G8,0)</f>
        <v>4.47444595858725</v>
      </c>
      <c r="H9" s="29" t="n">
        <f aca="false">IFERROR('Debt Schedule'!H37/'Operating Model'!H8,0)</f>
        <v>4.21400661814068</v>
      </c>
    </row>
    <row r="10" customFormat="false" ht="15" hidden="false" customHeight="true" outlineLevel="0" collapsed="false">
      <c r="B10" s="4" t="s">
        <v>160</v>
      </c>
      <c r="C10" s="15" t="n">
        <f aca="false">'Operating Model'!C20</f>
        <v>0</v>
      </c>
      <c r="D10" s="15" t="n">
        <f aca="false">'Operating Model'!D20</f>
        <v>605.0891875</v>
      </c>
      <c r="E10" s="15" t="n">
        <f aca="false">'Operating Model'!E20</f>
        <v>658.705559648438</v>
      </c>
      <c r="F10" s="15" t="n">
        <f aca="false">'Operating Model'!F20</f>
        <v>716.585211167163</v>
      </c>
      <c r="G10" s="15" t="n">
        <f aca="false">'Operating Model'!G20</f>
        <v>760.875398498306</v>
      </c>
      <c r="H10" s="15" t="n">
        <f aca="false">'Operating Model'!H20</f>
        <v>803.19118304428</v>
      </c>
    </row>
    <row r="11" customFormat="false" ht="15" hidden="false" customHeight="true" outlineLevel="0" collapsed="false">
      <c r="B11" s="4" t="s">
        <v>115</v>
      </c>
      <c r="C11" s="15" t="n">
        <f aca="false">'Debt Schedule'!C38</f>
        <v>0</v>
      </c>
      <c r="D11" s="15" t="n">
        <f aca="false">'Debt Schedule'!D38</f>
        <v>331</v>
      </c>
      <c r="E11" s="15" t="n">
        <f aca="false">'Debt Schedule'!E38</f>
        <v>322.91254734375</v>
      </c>
      <c r="F11" s="15" t="n">
        <f aca="false">'Debt Schedule'!F38</f>
        <v>313.168676768652</v>
      </c>
      <c r="G11" s="15" t="n">
        <f aca="false">'Debt Schedule'!G38</f>
        <v>301.61387868885</v>
      </c>
      <c r="H11" s="15" t="n">
        <f aca="false">'Debt Schedule'!H38</f>
        <v>288.581117500646</v>
      </c>
    </row>
    <row r="13" customFormat="false" ht="15" hidden="false" customHeight="true" outlineLevel="0" collapsed="false">
      <c r="B13" s="3" t="s">
        <v>161</v>
      </c>
    </row>
    <row r="14" customFormat="false" ht="15" hidden="false" customHeight="true" outlineLevel="0" collapsed="false">
      <c r="B14" s="4" t="s">
        <v>139</v>
      </c>
      <c r="C14" s="15" t="n">
        <f aca="false">Returns!D13</f>
        <v>4028.18</v>
      </c>
    </row>
    <row r="15" customFormat="false" ht="15" hidden="false" customHeight="true" outlineLevel="0" collapsed="false">
      <c r="B15" s="4" t="s">
        <v>162</v>
      </c>
      <c r="C15" s="15" t="n">
        <f aca="false">Returns!D9</f>
        <v>6162.46546706886</v>
      </c>
    </row>
    <row r="16" customFormat="false" ht="15" hidden="false" customHeight="true" outlineLevel="0" collapsed="false">
      <c r="B16" s="4" t="s">
        <v>163</v>
      </c>
      <c r="C16" s="29" t="n">
        <f aca="false">Returns!D15</f>
        <v>1.52983865345363</v>
      </c>
    </row>
    <row r="17" customFormat="false" ht="15" hidden="false" customHeight="true" outlineLevel="0" collapsed="false">
      <c r="B17" s="4" t="s">
        <v>164</v>
      </c>
      <c r="C17" s="42" t="n">
        <f aca="false">Returns!D16</f>
        <v>0.0887524014937135</v>
      </c>
    </row>
    <row r="19" customFormat="false" ht="15" hidden="false" customHeight="true" outlineLevel="0" collapsed="false">
      <c r="B19" s="27" t="s">
        <v>120</v>
      </c>
    </row>
    <row r="20" customFormat="false" ht="15" hidden="false" customHeight="true" outlineLevel="0" collapsed="false">
      <c r="B20" s="4" t="s">
        <v>165</v>
      </c>
      <c r="C20" s="28"/>
      <c r="D20" s="29" t="n">
        <f aca="false">'Debt Schedule'!D48</f>
        <v>3.37237386706949</v>
      </c>
      <c r="E20" s="29" t="n">
        <f aca="false">'Debt Schedule'!E48</f>
        <v>3.73282543111229</v>
      </c>
      <c r="F20" s="29" t="n">
        <f aca="false">'Debt Schedule'!F48</f>
        <v>4.14741089642721</v>
      </c>
      <c r="G20" s="29" t="n">
        <f aca="false">'Debt Schedule'!G48</f>
        <v>4.54377745879748</v>
      </c>
      <c r="H20" s="29" t="n">
        <f aca="false">'Debt Schedule'!H48</f>
        <v>4.98235985578278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2026-04-05T22:26:03Z</dcterms:created>
  <dc:creator>openpyxl</dc:creator>
  <dc:description/>
  <dc:language>en-US</dc:language>
  <cp:lastModifiedBy/>
  <dcterms:modified xsi:type="dcterms:W3CDTF">2026-04-06T11:24:08Z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