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odel Inputs" sheetId="1" state="visible" r:id="rId1"/>
    <sheet xmlns:r="http://schemas.openxmlformats.org/officeDocument/2006/relationships" name="2. Revenue &amp; P&amp;L" sheetId="2" state="visible" r:id="rId2"/>
    <sheet xmlns:r="http://schemas.openxmlformats.org/officeDocument/2006/relationships" name="3. WACC Build" sheetId="3" state="visible" r:id="rId3"/>
    <sheet xmlns:r="http://schemas.openxmlformats.org/officeDocument/2006/relationships" name="4. DCF Valuation" sheetId="4" state="visible" r:id="rId4"/>
    <sheet xmlns:r="http://schemas.openxmlformats.org/officeDocument/2006/relationships" name="5. Sensitivit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$#,##0.00"/>
    <numFmt numFmtId="167" formatCode="$#,##0.0"/>
    <numFmt numFmtId="168" formatCode="$#,##0"/>
    <numFmt numFmtId="169" formatCode="0.0"/>
    <numFmt numFmtId="170" formatCode="0.0000"/>
    <numFmt numFmtId="171" formatCode="+0.0%;-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color rgb="000000FF"/>
      <sz val="10"/>
    </font>
    <font>
      <name val="Calibri"/>
      <sz val="10"/>
    </font>
    <font>
      <name val="Calibri"/>
      <color rgb="00777777"/>
      <sz val="9"/>
    </font>
    <font>
      <name val="Calibri"/>
      <color rgb="001E8449"/>
      <sz val="10"/>
    </font>
    <font>
      <name val="Calibri"/>
      <b val="1"/>
      <color rgb="001E8449"/>
      <sz val="10"/>
    </font>
    <font>
      <name val="Calibri"/>
      <b val="1"/>
      <color rgb="00FFFFFF"/>
      <sz val="13"/>
    </font>
    <font>
      <name val="Calibri"/>
      <color rgb="00555555"/>
      <sz val="9"/>
    </font>
    <font>
      <name val="Calibri"/>
      <i val="1"/>
      <color rgb="00555555"/>
      <sz val="8"/>
    </font>
    <font>
      <name val="Calibri"/>
      <b val="1"/>
      <color rgb="007B3F00"/>
      <sz val="11"/>
    </font>
    <font>
      <name val="Calibri"/>
      <b val="1"/>
      <color rgb="007B241C"/>
      <sz val="10"/>
    </font>
    <font>
      <name val="Calibri"/>
      <i val="1"/>
      <color rgb="00333333"/>
      <sz val="8.5"/>
    </font>
    <font>
      <name val="Calibri"/>
      <b val="1"/>
      <color rgb="007B3F00"/>
      <sz val="10"/>
    </font>
    <font>
      <name val="Calibri"/>
      <i val="1"/>
      <color rgb="00444444"/>
      <sz val="8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2E86A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F4F6F8"/>
      </patternFill>
    </fill>
    <fill>
      <patternFill patternType="solid">
        <fgColor rgb="00FDEDE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1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left" vertical="center" indent="1"/>
    </xf>
    <xf numFmtId="10" fontId="6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indent="1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left" vertical="center" indent="1"/>
    </xf>
    <xf numFmtId="165" fontId="10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0" fontId="12" fillId="6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indent="1"/>
    </xf>
    <xf numFmtId="10" fontId="6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left" vertical="center" indent="1"/>
    </xf>
    <xf numFmtId="10" fontId="8" fillId="7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left" vertical="center" indent="1"/>
    </xf>
    <xf numFmtId="166" fontId="6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2"/>
    </xf>
    <xf numFmtId="164" fontId="7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2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vertical="top" wrapText="1"/>
    </xf>
    <xf numFmtId="169" fontId="6" fillId="0" borderId="1" applyAlignment="1" pivotButton="0" quotePrefix="0" xfId="0">
      <alignment horizontal="right" vertical="center"/>
    </xf>
    <xf numFmtId="170" fontId="7" fillId="0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8" fontId="12" fillId="6" borderId="1" applyAlignment="1" pivotButton="0" quotePrefix="0" xfId="0">
      <alignment horizontal="right" vertical="center"/>
    </xf>
    <xf numFmtId="165" fontId="0" fillId="0" borderId="0" pivotButton="0" quotePrefix="0" xfId="0"/>
    <xf numFmtId="166" fontId="16" fillId="7" borderId="1" applyAlignment="1" pivotButton="0" quotePrefix="0" xfId="0">
      <alignment horizontal="right" vertical="center"/>
    </xf>
    <xf numFmtId="171" fontId="17" fillId="0" borderId="1" applyAlignment="1" pivotButton="0" quotePrefix="0" xfId="0">
      <alignment horizontal="right" vertical="center"/>
    </xf>
    <xf numFmtId="0" fontId="18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8" fontId="9" fillId="9" borderId="1" applyAlignment="1" pivotButton="0" quotePrefix="0" xfId="0">
      <alignment horizontal="center" vertical="center"/>
    </xf>
    <xf numFmtId="168" fontId="19" fillId="7" borderId="1" applyAlignment="1" pivotButton="0" quotePrefix="0" xfId="0">
      <alignment horizontal="center" vertical="center"/>
    </xf>
    <xf numFmtId="0" fontId="2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NVIDIA Revenue &amp; Free Cash Flow ($bn)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 ($bn)</v>
          </tx>
          <spPr>
            <a:ln xmlns:a="http://schemas.openxmlformats.org/drawingml/2006/main">
              <a:prstDash val="solid"/>
            </a:ln>
          </spPr>
          <cat>
            <numRef>
              <f>'2. Revenue &amp; P&amp;L'!$B$4:$G$4</f>
            </numRef>
          </cat>
          <val>
            <numRef>
              <f>'2. Revenue &amp; P&amp;L'!$B$6:$G$6</f>
            </numRef>
          </val>
        </ser>
        <ser>
          <idx val="1"/>
          <order val="1"/>
          <tx>
            <v>FCF ($bn)</v>
          </tx>
          <spPr>
            <a:ln xmlns:a="http://schemas.openxmlformats.org/drawingml/2006/main">
              <a:prstDash val="solid"/>
            </a:ln>
          </spPr>
          <cat>
            <numRef>
              <f>'2. Revenue &amp; P&amp;L'!$B$4:$G$4</f>
            </numRef>
          </cat>
          <val>
            <numRef>
              <f>'2. Revenue &amp; P&amp;L'!$B$25:$G$25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NVIDIA Corporation — DCF Model Inputs</t>
        </is>
      </c>
    </row>
    <row r="2" ht="16" customHeight="1">
      <c r="A2" s="2" t="inlineStr">
        <is>
          <t>Stock Deep-Dive Series  ·  Zak Whatmough  ·  March 2026  |  Blue cells = hardcoded inputs</t>
        </is>
      </c>
    </row>
    <row r="3" ht="6" customHeight="1"/>
    <row r="4" ht="20" customHeight="1">
      <c r="A4" s="3" t="inlineStr">
        <is>
          <t>REVENUE GROWTH ASSUMPTIONS  (fiscal year ending January)</t>
        </is>
      </c>
      <c r="B4" s="4" t="n"/>
      <c r="C4" s="5" t="n"/>
      <c r="E4" s="3" t="inlineStr">
        <is>
          <t>WACC ASSUMPTIONS (Base Case)</t>
        </is>
      </c>
      <c r="F4" s="4" t="n"/>
      <c r="G4" s="5" t="n"/>
    </row>
    <row r="5">
      <c r="A5" s="6" t="inlineStr">
        <is>
          <t>Row</t>
        </is>
      </c>
      <c r="B5" s="7" t="inlineStr">
        <is>
          <t>FY2025A</t>
        </is>
      </c>
      <c r="C5" s="7" t="inlineStr">
        <is>
          <t>FY2026E</t>
        </is>
      </c>
      <c r="D5" s="7" t="inlineStr">
        <is>
          <t>FY2027E</t>
        </is>
      </c>
      <c r="E5" s="8" t="inlineStr">
        <is>
          <t>Assumption</t>
        </is>
      </c>
      <c r="F5" s="9" t="inlineStr">
        <is>
          <t>Value</t>
        </is>
      </c>
      <c r="G5" s="8" t="inlineStr">
        <is>
          <t>Note</t>
        </is>
      </c>
    </row>
    <row r="6" ht="17" customHeight="1">
      <c r="A6" s="10" t="inlineStr">
        <is>
          <t>Total Revenue ($bn)</t>
        </is>
      </c>
      <c r="B6" s="11" t="n">
        <v>130.5</v>
      </c>
      <c r="C6" s="11" t="n">
        <v>193.6</v>
      </c>
      <c r="D6" s="11" t="n">
        <v>239.2</v>
      </c>
      <c r="E6" s="12" t="inlineStr">
        <is>
          <t>Risk-Free Rate (US 10yr Treasury)</t>
        </is>
      </c>
      <c r="F6" s="13" t="n">
        <v>0.045</v>
      </c>
      <c r="G6" s="14" t="inlineStr">
        <is>
          <t>Mar 2026 market rate</t>
        </is>
      </c>
    </row>
    <row r="7" ht="17" customHeight="1">
      <c r="A7" s="15" t="inlineStr">
        <is>
          <t>YoY Revenue Growth (%)</t>
        </is>
      </c>
      <c r="B7" t="inlineStr">
        <is>
          <t>—</t>
        </is>
      </c>
      <c r="C7" s="16" t="n">
        <v>0.483</v>
      </c>
      <c r="D7" s="16" t="n">
        <v>0.236</v>
      </c>
      <c r="E7" s="17" t="inlineStr">
        <is>
          <t>Equity Risk Premium</t>
        </is>
      </c>
      <c r="F7" s="13" t="n">
        <v>0.055</v>
      </c>
      <c r="G7" s="18" t="inlineStr">
        <is>
          <t>Damodaran (Jan 2026)</t>
        </is>
      </c>
    </row>
    <row r="8" ht="17" customHeight="1">
      <c r="E8" s="15" t="inlineStr">
        <is>
          <t>Levered Beta (5yr monthly)</t>
        </is>
      </c>
      <c r="F8" s="19" t="n">
        <v>1.72</v>
      </c>
      <c r="G8" s="20" t="inlineStr">
        <is>
          <t>Bloomberg, 60-month</t>
        </is>
      </c>
    </row>
    <row r="9" ht="17" customHeight="1">
      <c r="A9" s="3" t="inlineStr">
        <is>
          <t>SEGMENT REVENUE MIX — FY2026E ($bn)</t>
        </is>
      </c>
      <c r="B9" s="4" t="n"/>
      <c r="C9" s="5" t="n"/>
      <c r="E9" s="15" t="inlineStr">
        <is>
          <t>Cost of Equity (CAPM)</t>
        </is>
      </c>
      <c r="F9" s="13" t="n"/>
      <c r="G9" s="20" t="inlineStr">
        <is>
          <t>Rf + Beta × ERP</t>
        </is>
      </c>
    </row>
    <row r="10" ht="17" customHeight="1">
      <c r="A10" s="15" t="inlineStr">
        <is>
          <t>Data Center</t>
        </is>
      </c>
      <c r="B10" s="11" t="n">
        <v>163.4</v>
      </c>
      <c r="C10" s="21">
        <f>B10/B15</f>
        <v/>
      </c>
      <c r="E10" s="15" t="inlineStr">
        <is>
          <t>Pre-Tax Cost of Debt</t>
        </is>
      </c>
      <c r="F10" s="22">
        <f>F6+F8*F7</f>
        <v/>
      </c>
      <c r="G10" s="20" t="inlineStr">
        <is>
          <t>Blended bond yield</t>
        </is>
      </c>
    </row>
    <row r="11" ht="17" customHeight="1">
      <c r="A11" s="15" t="inlineStr">
        <is>
          <t>Gaming</t>
        </is>
      </c>
      <c r="B11" s="11" t="n">
        <v>14.2</v>
      </c>
      <c r="C11" s="21">
        <f>B11/B15</f>
        <v/>
      </c>
      <c r="E11" s="15" t="inlineStr">
        <is>
          <t>Effective Tax Rate</t>
        </is>
      </c>
      <c r="F11" s="13" t="n">
        <v>0.14</v>
      </c>
      <c r="G11" s="20" t="inlineStr">
        <is>
          <t>FY2025 actual</t>
        </is>
      </c>
    </row>
    <row r="12" ht="17" customHeight="1">
      <c r="A12" s="15" t="inlineStr">
        <is>
          <t>Professional Visualisation</t>
        </is>
      </c>
      <c r="B12" s="11" t="n">
        <v>2.5</v>
      </c>
      <c r="C12" s="21">
        <f>B12/B15</f>
        <v/>
      </c>
      <c r="E12" s="15" t="inlineStr">
        <is>
          <t>Post-Tax Cost of Debt</t>
        </is>
      </c>
      <c r="F12" s="13" t="n"/>
      <c r="G12" s="20" t="inlineStr">
        <is>
          <t>Pre-tax × (1-tax)</t>
        </is>
      </c>
    </row>
    <row r="13" ht="17" customHeight="1">
      <c r="A13" s="15" t="inlineStr">
        <is>
          <t>Automotive</t>
        </is>
      </c>
      <c r="B13" s="11" t="n">
        <v>3.8</v>
      </c>
      <c r="C13" s="21">
        <f>B13/B15</f>
        <v/>
      </c>
      <c r="E13" s="15" t="inlineStr">
        <is>
          <t>Debt / Total Capital</t>
        </is>
      </c>
      <c r="F13" s="22">
        <f>F10*(1-F11)</f>
        <v/>
      </c>
      <c r="G13" s="20" t="inlineStr">
        <is>
          <t>Dec 2025 balance sheet</t>
        </is>
      </c>
    </row>
    <row r="14" ht="17" customHeight="1">
      <c r="A14" s="15" t="inlineStr">
        <is>
          <t>OEM &amp; Other</t>
        </is>
      </c>
      <c r="B14" s="11" t="n">
        <v>9.699999999999999</v>
      </c>
      <c r="C14" s="21">
        <f>B14/B15</f>
        <v/>
      </c>
      <c r="E14" s="15" t="inlineStr">
        <is>
          <t>Equity / Total Capital</t>
        </is>
      </c>
      <c r="F14" s="13" t="n"/>
      <c r="G14" s="20" t="inlineStr">
        <is>
          <t>1 - Debt weight</t>
        </is>
      </c>
    </row>
    <row r="15" ht="17" customHeight="1">
      <c r="A15" s="10" t="inlineStr">
        <is>
          <t>Total</t>
        </is>
      </c>
      <c r="B15" s="23" t="n">
        <v>193.6</v>
      </c>
      <c r="C15" s="24" t="inlineStr">
        <is>
          <t>100.0%</t>
        </is>
      </c>
      <c r="E15" s="10" t="inlineStr">
        <is>
          <t>WACC (Base Case)</t>
        </is>
      </c>
      <c r="F15" s="25">
        <f>1-F13</f>
        <v/>
      </c>
      <c r="G15" s="20" t="inlineStr">
        <is>
          <t>Weighted avg cost of capital</t>
        </is>
      </c>
    </row>
    <row r="16" ht="8" customHeight="1"/>
    <row r="17" ht="20" customHeight="1">
      <c r="A17" s="3" t="inlineStr">
        <is>
          <t>MARGIN ASSUMPTIONS</t>
        </is>
      </c>
      <c r="B17" s="4" t="n"/>
      <c r="C17" s="5" t="n"/>
      <c r="E17" s="3" t="inlineStr">
        <is>
          <t>TERMINAL VALUE ASSUMPTIONS</t>
        </is>
      </c>
      <c r="F17" s="4" t="n"/>
      <c r="G17" s="5" t="n"/>
    </row>
    <row r="18" ht="17" customHeight="1">
      <c r="A18" s="6" t="inlineStr">
        <is>
          <t>Assumption</t>
        </is>
      </c>
      <c r="B18" s="7" t="inlineStr">
        <is>
          <t>FY2025A</t>
        </is>
      </c>
      <c r="C18" s="7" t="inlineStr">
        <is>
          <t>FY2026E</t>
        </is>
      </c>
      <c r="D18" s="7" t="inlineStr">
        <is>
          <t>FY2027E</t>
        </is>
      </c>
      <c r="E18" s="26" t="inlineStr">
        <is>
          <t>Terminal Growth Rate (Bear)</t>
        </is>
      </c>
      <c r="F18" s="27" t="n">
        <v>0.02</v>
      </c>
      <c r="G18" s="7" t="inlineStr">
        <is>
          <t>FY2030E</t>
        </is>
      </c>
    </row>
    <row r="19" ht="17" customHeight="1">
      <c r="A19" s="15" t="inlineStr">
        <is>
          <t>Gross Margin (%)</t>
        </is>
      </c>
      <c r="B19" s="16" t="n">
        <v>0.749</v>
      </c>
      <c r="C19" s="16" t="n">
        <v>0.74</v>
      </c>
      <c r="D19" s="16" t="n">
        <v>0.728</v>
      </c>
      <c r="E19" s="28" t="inlineStr">
        <is>
          <t>Terminal Growth Rate (Base)</t>
        </is>
      </c>
      <c r="F19" s="29" t="n">
        <v>0.03</v>
      </c>
      <c r="G19" s="16" t="n">
        <v>0.698</v>
      </c>
    </row>
    <row r="20" ht="17" customHeight="1">
      <c r="A20" s="15" t="inlineStr">
        <is>
          <t>R&amp;D (% revenue)</t>
        </is>
      </c>
      <c r="B20" s="16" t="n">
        <v>0.101</v>
      </c>
      <c r="C20" s="16" t="n">
        <v>0.095</v>
      </c>
      <c r="D20" s="16" t="n">
        <v>0.09</v>
      </c>
      <c r="E20" s="17" t="inlineStr">
        <is>
          <t>Terminal Growth Rate (Bull)</t>
        </is>
      </c>
      <c r="F20" s="13" t="n">
        <v>0.04</v>
      </c>
      <c r="G20" s="16" t="n">
        <v>0.08599999999999999</v>
      </c>
    </row>
    <row r="21" ht="17" customHeight="1">
      <c r="A21" s="15" t="inlineStr">
        <is>
          <t>SG&amp;A (% revenue)</t>
        </is>
      </c>
      <c r="B21" s="16" t="n">
        <v>0.029</v>
      </c>
      <c r="C21" s="16" t="n">
        <v>0.028</v>
      </c>
      <c r="D21" s="16" t="n">
        <v>0.028</v>
      </c>
      <c r="E21" s="17" t="inlineStr">
        <is>
          <t>Terminal Year EBIT Margin</t>
        </is>
      </c>
      <c r="F21" s="16" t="n">
        <v>0.585</v>
      </c>
      <c r="G21" s="16" t="n">
        <v>0.027</v>
      </c>
    </row>
    <row r="22" ht="17" customHeight="1">
      <c r="A22" s="15" t="inlineStr">
        <is>
          <t>EBIT Margin (%)</t>
        </is>
      </c>
      <c r="B22" s="16" t="n">
        <v>0.619</v>
      </c>
      <c r="C22" s="16" t="n">
        <v>0.617</v>
      </c>
      <c r="D22" s="16" t="n">
        <v>0.61</v>
      </c>
      <c r="E22" s="17" t="inlineStr">
        <is>
          <t>Normalised CapEx (% revenue)</t>
        </is>
      </c>
      <c r="F22" s="16" t="n">
        <v>0.026</v>
      </c>
      <c r="G22" s="16" t="n">
        <v>0.585</v>
      </c>
    </row>
    <row r="23" ht="17" customHeight="1">
      <c r="A23" s="15" t="inlineStr">
        <is>
          <t>Effective Tax Rate (%)</t>
        </is>
      </c>
      <c r="B23" s="16" t="n">
        <v>0.135</v>
      </c>
      <c r="C23" s="16" t="n">
        <v>0.14</v>
      </c>
      <c r="D23" s="16" t="n">
        <v>0.145</v>
      </c>
      <c r="E23" s="17" t="inlineStr">
        <is>
          <t>Normalised D&amp;A (% revenue)</t>
        </is>
      </c>
      <c r="F23" s="16" t="n">
        <v>0.012</v>
      </c>
      <c r="G23" s="16" t="n">
        <v>0.15</v>
      </c>
    </row>
    <row r="24" ht="8" customHeight="1">
      <c r="A24" s="15" t="inlineStr">
        <is>
          <t>Net Income Margin (%)</t>
        </is>
      </c>
      <c r="B24" s="16" t="n">
        <v>0.554</v>
      </c>
      <c r="C24" s="16" t="n">
        <v>0.531</v>
      </c>
      <c r="D24" s="16" t="n">
        <v>0.523</v>
      </c>
      <c r="E24" s="16" t="n">
        <v>0.511</v>
      </c>
      <c r="F24" s="16" t="n">
        <v>0.502</v>
      </c>
      <c r="G24" s="16" t="n">
        <v>0.498</v>
      </c>
    </row>
    <row r="25" ht="20" customHeight="1">
      <c r="A25" s="15" t="inlineStr">
        <is>
          <t>D&amp;A (% revenue)</t>
        </is>
      </c>
      <c r="B25" s="16" t="n">
        <v>0.012</v>
      </c>
      <c r="C25" s="16" t="n">
        <v>0.012</v>
      </c>
      <c r="D25" s="16" t="n">
        <v>0.012</v>
      </c>
      <c r="E25" s="30" t="inlineStr">
        <is>
          <t>MARKET DATA &amp; EQUITY BRIDGE</t>
        </is>
      </c>
      <c r="F25" s="4" t="n"/>
      <c r="G25" s="5" t="n"/>
    </row>
    <row r="26" ht="17" customHeight="1">
      <c r="A26" s="15" t="inlineStr">
        <is>
          <t>CapEx (% revenue)</t>
        </is>
      </c>
      <c r="B26" s="16" t="n">
        <v>0.022</v>
      </c>
      <c r="C26" s="16" t="n">
        <v>0.025</v>
      </c>
      <c r="D26" s="16" t="n">
        <v>0.028</v>
      </c>
      <c r="E26" s="17" t="inlineStr">
        <is>
          <t>Current Share Price ($)</t>
        </is>
      </c>
      <c r="F26" s="31" t="n">
        <v>135</v>
      </c>
      <c r="G26" s="18" t="inlineStr">
        <is>
          <t>As of March 2026</t>
        </is>
      </c>
    </row>
    <row r="27" ht="17" customHeight="1">
      <c r="A27" s="15" t="inlineStr">
        <is>
          <t>Change in Working Cap (%)</t>
        </is>
      </c>
      <c r="B27" s="16" t="n">
        <v>0.005</v>
      </c>
      <c r="C27" s="16" t="n">
        <v>0.005</v>
      </c>
      <c r="D27" s="16" t="n">
        <v>0.005</v>
      </c>
      <c r="E27" s="17" t="inlineStr">
        <is>
          <t>Diluted Shares Outstanding (bn)</t>
        </is>
      </c>
      <c r="F27" s="11" t="n">
        <v>24.4</v>
      </c>
      <c r="G27" s="18" t="inlineStr">
        <is>
          <t>Including RSUs</t>
        </is>
      </c>
    </row>
    <row r="28" ht="17" customHeight="1">
      <c r="E28" s="15" t="inlineStr">
        <is>
          <t>Market Capitalisation ($bn)</t>
        </is>
      </c>
      <c r="F28" s="32">
        <f>F26*F27</f>
        <v/>
      </c>
      <c r="G28" s="20">
        <f> Price × Shares</f>
        <v/>
      </c>
    </row>
    <row r="29" ht="17" customHeight="1">
      <c r="E29" s="15" t="inlineStr">
        <is>
          <t>Net Cash / (Debt) ($bn)</t>
        </is>
      </c>
      <c r="F29" s="33" t="n">
        <v>31.5</v>
      </c>
      <c r="G29" s="20" t="inlineStr">
        <is>
          <t>Dec 2025 balance sheet</t>
        </is>
      </c>
    </row>
    <row r="30" ht="17" customHeight="1">
      <c r="E30" s="15" t="inlineStr">
        <is>
          <t>Enterprise Value ($bn)</t>
        </is>
      </c>
      <c r="F30" s="32">
        <f>F28-F29</f>
        <v/>
      </c>
      <c r="G30" s="20">
        <f> Mkt Cap - Net Cash</f>
        <v/>
      </c>
    </row>
  </sheetData>
  <mergeCells count="8">
    <mergeCell ref="A1:G1"/>
    <mergeCell ref="A17:C17"/>
    <mergeCell ref="A9:C9"/>
    <mergeCell ref="E17:G17"/>
    <mergeCell ref="A2:G2"/>
    <mergeCell ref="E4:G4"/>
    <mergeCell ref="A4:C4"/>
    <mergeCell ref="E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34" t="inlineStr">
        <is>
          <t>NVIDIA — Revenue &amp; P&amp;L Build → Free Cash Flow</t>
        </is>
      </c>
    </row>
    <row r="2" ht="15" customHeight="1">
      <c r="A2" s="2" t="inlineStr">
        <is>
          <t>All figures in $bn unless stated  ·  FY ending January  ·  Blue = input, Black = formula</t>
        </is>
      </c>
    </row>
    <row r="3" ht="6" customHeight="1"/>
    <row r="4" ht="20" customHeight="1">
      <c r="A4" s="6" t="inlineStr">
        <is>
          <t>Income Statement &amp; FCF Build</t>
        </is>
      </c>
      <c r="B4" s="7" t="inlineStr">
        <is>
          <t>FY2025A</t>
        </is>
      </c>
      <c r="C4" s="7" t="inlineStr">
        <is>
          <t>FY2026E</t>
        </is>
      </c>
      <c r="D4" s="7" t="inlineStr">
        <is>
          <t>FY2027E</t>
        </is>
      </c>
      <c r="E4" s="7" t="inlineStr">
        <is>
          <t>FY2028E</t>
        </is>
      </c>
      <c r="F4" s="7" t="inlineStr">
        <is>
          <t>FY2029E</t>
        </is>
      </c>
      <c r="G4" s="7" t="inlineStr">
        <is>
          <t>FY2030E</t>
        </is>
      </c>
      <c r="H4" s="7" t="inlineStr">
        <is>
          <t>CAGR 25-30</t>
        </is>
      </c>
    </row>
    <row r="5" ht="18" customHeight="1">
      <c r="A5" s="3" t="inlineStr">
        <is>
          <t>TOP-LINE</t>
        </is>
      </c>
      <c r="B5" s="4" t="n"/>
      <c r="C5" s="4" t="n"/>
      <c r="D5" s="4" t="n"/>
      <c r="E5" s="4" t="n"/>
      <c r="F5" s="4" t="n"/>
      <c r="G5" s="4" t="n"/>
      <c r="H5" s="5" t="n"/>
    </row>
    <row r="6" ht="18" customHeight="1">
      <c r="A6" s="10" t="inlineStr">
        <is>
          <t>Total Revenue ($bn)</t>
        </is>
      </c>
      <c r="B6" s="23" t="n">
        <v>130.5</v>
      </c>
      <c r="C6" s="23" t="n">
        <v>193.6</v>
      </c>
      <c r="D6" s="23" t="n">
        <v>239.2</v>
      </c>
      <c r="E6" s="23" t="n">
        <v>284.5</v>
      </c>
      <c r="F6" s="23" t="n">
        <v>323.8</v>
      </c>
      <c r="G6" s="23" t="n">
        <v>354.9</v>
      </c>
      <c r="H6" s="21">
        <f>(H6/C6)^(1/5)-1</f>
        <v/>
      </c>
    </row>
    <row r="7" ht="16" customHeight="1">
      <c r="A7" s="35" t="inlineStr">
        <is>
          <t>YoY Revenue Growth</t>
        </is>
      </c>
      <c r="B7" t="inlineStr">
        <is>
          <t>—</t>
        </is>
      </c>
      <c r="D7" s="21">
        <f>D6/C6-1</f>
        <v/>
      </c>
      <c r="E7" s="21">
        <f>E6/D6-1</f>
        <v/>
      </c>
      <c r="F7" s="21">
        <f>F6/E6-1</f>
        <v/>
      </c>
      <c r="G7" s="21">
        <f>G6/F6-1</f>
        <v/>
      </c>
      <c r="H7" s="21">
        <f>H6/G6-1</f>
        <v/>
      </c>
    </row>
    <row r="8" ht="6" customHeight="1"/>
    <row r="9" ht="18" customHeight="1">
      <c r="A9" s="3" t="inlineStr">
        <is>
          <t>PROFITABILITY</t>
        </is>
      </c>
      <c r="B9" s="4" t="n"/>
      <c r="C9" s="4" t="n"/>
      <c r="D9" s="4" t="n"/>
      <c r="E9" s="4" t="n"/>
      <c r="F9" s="4" t="n"/>
      <c r="G9" s="4" t="n"/>
      <c r="H9" s="5" t="n"/>
    </row>
    <row r="10" ht="18" customHeight="1">
      <c r="A10" s="10" t="inlineStr">
        <is>
          <t>Gross Profit ($bn)</t>
        </is>
      </c>
      <c r="B10" s="23" t="n">
        <v>97.7</v>
      </c>
      <c r="C10" s="23" t="n">
        <v>143.3</v>
      </c>
      <c r="D10" s="23" t="n">
        <v>174.1</v>
      </c>
      <c r="E10" s="23" t="n">
        <v>203.4</v>
      </c>
      <c r="F10" s="23" t="n">
        <v>228.3</v>
      </c>
      <c r="G10" s="23" t="n">
        <v>247.7</v>
      </c>
      <c r="H10" s="21">
        <f>(H10/C10)^(1/5)-1</f>
        <v/>
      </c>
    </row>
    <row r="11" ht="16" customHeight="1">
      <c r="A11" s="35" t="inlineStr">
        <is>
          <t>Gross Margin (%)</t>
        </is>
      </c>
      <c r="B11" s="16" t="n">
        <v>0.749</v>
      </c>
      <c r="C11" s="16" t="n">
        <v>0.74</v>
      </c>
      <c r="D11" s="16" t="n">
        <v>0.728</v>
      </c>
      <c r="E11" s="16" t="n">
        <v>0.715</v>
      </c>
      <c r="F11" s="16" t="n">
        <v>0.705</v>
      </c>
      <c r="G11" s="16" t="n">
        <v>0.698</v>
      </c>
    </row>
    <row r="12" ht="16" customHeight="1">
      <c r="A12" s="15" t="inlineStr">
        <is>
          <t>R&amp;D Expense ($bn)</t>
        </is>
      </c>
      <c r="B12" s="11" t="n">
        <v>13.2</v>
      </c>
      <c r="C12" s="11" t="n">
        <v>18.4</v>
      </c>
      <c r="D12" s="11" t="n">
        <v>21.5</v>
      </c>
      <c r="E12" s="11" t="n">
        <v>25</v>
      </c>
      <c r="F12" s="11" t="n">
        <v>28.2</v>
      </c>
      <c r="G12" s="11" t="n">
        <v>30.5</v>
      </c>
    </row>
    <row r="13" ht="16" customHeight="1">
      <c r="A13" s="15" t="inlineStr">
        <is>
          <t>SG&amp;A Expense ($bn)</t>
        </is>
      </c>
      <c r="B13" s="11" t="n">
        <v>3.8</v>
      </c>
      <c r="C13" s="11" t="n">
        <v>5.4</v>
      </c>
      <c r="D13" s="11" t="n">
        <v>6.7</v>
      </c>
      <c r="E13" s="11" t="n">
        <v>7.7</v>
      </c>
      <c r="F13" s="11" t="n">
        <v>8.699999999999999</v>
      </c>
      <c r="G13" s="11" t="n">
        <v>9.6</v>
      </c>
    </row>
    <row r="14" ht="18" customHeight="1">
      <c r="A14" s="10" t="inlineStr">
        <is>
          <t>EBIT ($bn)</t>
        </is>
      </c>
      <c r="B14" s="23" t="n">
        <v>80.8</v>
      </c>
      <c r="C14" s="23" t="n">
        <v>119.5</v>
      </c>
      <c r="D14" s="23" t="n">
        <v>145.9</v>
      </c>
      <c r="E14" s="23" t="n">
        <v>170.7</v>
      </c>
      <c r="F14" s="23" t="n">
        <v>191.4</v>
      </c>
      <c r="G14" s="23" t="n">
        <v>207.6</v>
      </c>
      <c r="H14" s="21">
        <f>(H14/C14)^(1/5)-1</f>
        <v/>
      </c>
    </row>
    <row r="15" ht="16" customHeight="1">
      <c r="A15" s="35" t="inlineStr">
        <is>
          <t>EBIT Margin (%)</t>
        </is>
      </c>
      <c r="B15" s="16" t="n">
        <v>0.619</v>
      </c>
      <c r="C15" s="16" t="n">
        <v>0.617</v>
      </c>
      <c r="D15" s="16" t="n">
        <v>0.61</v>
      </c>
      <c r="E15" s="16" t="n">
        <v>0.6</v>
      </c>
      <c r="F15" s="16" t="n">
        <v>0.591</v>
      </c>
      <c r="G15" s="16" t="n">
        <v>0.585</v>
      </c>
    </row>
    <row r="16" ht="16" customHeight="1">
      <c r="A16" s="15" t="inlineStr">
        <is>
          <t>Tax ($bn)</t>
        </is>
      </c>
      <c r="B16" s="11" t="n">
        <v>10.9</v>
      </c>
      <c r="C16" s="11" t="n">
        <v>16.7</v>
      </c>
      <c r="D16" s="11" t="n">
        <v>21.2</v>
      </c>
      <c r="E16" s="11" t="n">
        <v>25.6</v>
      </c>
      <c r="F16" s="11" t="n">
        <v>28.7</v>
      </c>
      <c r="G16" s="11" t="n">
        <v>31.1</v>
      </c>
    </row>
    <row r="17" ht="18" customHeight="1">
      <c r="A17" s="10" t="inlineStr">
        <is>
          <t>Net Income ($bn)</t>
        </is>
      </c>
      <c r="B17" s="23" t="n">
        <v>69.90000000000001</v>
      </c>
      <c r="C17" s="23" t="n">
        <v>102.8</v>
      </c>
      <c r="D17" s="23" t="n">
        <v>124.7</v>
      </c>
      <c r="E17" s="23" t="n">
        <v>145.1</v>
      </c>
      <c r="F17" s="23" t="n">
        <v>162.7</v>
      </c>
      <c r="G17" s="23" t="n">
        <v>176.5</v>
      </c>
      <c r="H17" s="21">
        <f>(H17/C17)^(1/5)-1</f>
        <v/>
      </c>
    </row>
    <row r="18" ht="16" customHeight="1">
      <c r="A18" s="35" t="inlineStr">
        <is>
          <t>Net Margin (%)</t>
        </is>
      </c>
      <c r="B18" s="16" t="n">
        <v>0.536</v>
      </c>
      <c r="C18" s="16" t="n">
        <v>0.531</v>
      </c>
      <c r="D18" s="16" t="n">
        <v>0.521</v>
      </c>
      <c r="E18" s="16" t="n">
        <v>0.51</v>
      </c>
      <c r="F18" s="16" t="n">
        <v>0.502</v>
      </c>
      <c r="G18" s="16" t="n">
        <v>0.497</v>
      </c>
    </row>
    <row r="19" ht="6" customHeight="1"/>
    <row r="20" ht="18" customHeight="1">
      <c r="A20" s="3" t="inlineStr">
        <is>
          <t>FREE CASH FLOW BUILD</t>
        </is>
      </c>
      <c r="B20" s="4" t="n"/>
      <c r="C20" s="4" t="n"/>
      <c r="D20" s="4" t="n"/>
      <c r="E20" s="4" t="n"/>
      <c r="F20" s="4" t="n"/>
      <c r="G20" s="4" t="n"/>
      <c r="H20" s="5" t="n"/>
    </row>
    <row r="21" ht="16" customHeight="1">
      <c r="A21" s="15" t="inlineStr">
        <is>
          <t>Net Income ($bn)</t>
        </is>
      </c>
      <c r="B21" s="36" t="n">
        <v>69.90000000000001</v>
      </c>
      <c r="C21" s="36" t="n">
        <v>102.8</v>
      </c>
      <c r="D21" s="36" t="n">
        <v>124.7</v>
      </c>
      <c r="E21" s="36" t="n">
        <v>145.1</v>
      </c>
      <c r="F21" s="36" t="n">
        <v>162.7</v>
      </c>
      <c r="G21" s="36" t="n">
        <v>176.5</v>
      </c>
    </row>
    <row r="22" ht="16" customHeight="1">
      <c r="A22" s="15" t="inlineStr">
        <is>
          <t>+ D&amp;A ($bn)</t>
        </is>
      </c>
      <c r="B22" s="11" t="n">
        <v>1.6</v>
      </c>
      <c r="C22" s="11" t="n">
        <v>2.3</v>
      </c>
      <c r="D22" s="11" t="n">
        <v>2.9</v>
      </c>
      <c r="E22" s="11" t="n">
        <v>3.4</v>
      </c>
      <c r="F22" s="11" t="n">
        <v>3.9</v>
      </c>
      <c r="G22" s="11" t="n">
        <v>4.3</v>
      </c>
    </row>
    <row r="23" ht="16" customHeight="1">
      <c r="A23" s="15" t="inlineStr">
        <is>
          <t>− CapEx ($bn)</t>
        </is>
      </c>
      <c r="B23" s="11" t="n">
        <v>2.9</v>
      </c>
      <c r="C23" s="11" t="n">
        <v>4.8</v>
      </c>
      <c r="D23" s="11" t="n">
        <v>6.7</v>
      </c>
      <c r="E23" s="11" t="n">
        <v>8</v>
      </c>
      <c r="F23" s="11" t="n">
        <v>8.699999999999999</v>
      </c>
      <c r="G23" s="11" t="n">
        <v>9.199999999999999</v>
      </c>
    </row>
    <row r="24" ht="16" customHeight="1">
      <c r="A24" s="15" t="inlineStr">
        <is>
          <t>− Change in Working Capital ($bn)</t>
        </is>
      </c>
      <c r="B24" s="11" t="n">
        <v>0.7</v>
      </c>
      <c r="C24" s="11" t="n">
        <v>1</v>
      </c>
      <c r="D24" s="11" t="n">
        <v>1.2</v>
      </c>
      <c r="E24" s="11" t="n">
        <v>1.4</v>
      </c>
      <c r="F24" s="11" t="n">
        <v>1.6</v>
      </c>
      <c r="G24" s="11" t="n">
        <v>1.8</v>
      </c>
    </row>
    <row r="25" ht="20" customHeight="1">
      <c r="A25" s="10" t="inlineStr">
        <is>
          <t>FREE CASH FLOW ($bn)</t>
        </is>
      </c>
      <c r="B25" s="37" t="n">
        <v>67.90000000000001</v>
      </c>
      <c r="C25" s="37" t="n">
        <v>99.3</v>
      </c>
      <c r="D25" s="37" t="n">
        <v>119.7</v>
      </c>
      <c r="E25" s="37" t="n">
        <v>139.1</v>
      </c>
      <c r="F25" s="37" t="n">
        <v>156.3</v>
      </c>
      <c r="G25" s="37" t="n">
        <v>169.8</v>
      </c>
      <c r="H25" s="21">
        <f>(H25/C25)^(1/5)-1</f>
        <v/>
      </c>
    </row>
    <row r="26" ht="16" customHeight="1">
      <c r="A26" s="35" t="inlineStr">
        <is>
          <t>FCF Margin (%)</t>
        </is>
      </c>
      <c r="B26" s="16" t="n">
        <v>0.52</v>
      </c>
      <c r="C26" s="16" t="n">
        <v>0.513</v>
      </c>
      <c r="D26" s="16" t="n">
        <v>0.5</v>
      </c>
      <c r="E26" s="16" t="n">
        <v>0.489</v>
      </c>
      <c r="F26" s="16" t="n">
        <v>0.483</v>
      </c>
      <c r="G26" s="16" t="n">
        <v>0.478</v>
      </c>
    </row>
  </sheetData>
  <mergeCells count="5">
    <mergeCell ref="A9:H9"/>
    <mergeCell ref="A1:H1"/>
    <mergeCell ref="A20:H20"/>
    <mergeCell ref="A2:H2"/>
    <mergeCell ref="A5:H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4" customWidth="1" min="3" max="3"/>
    <col width="4" customWidth="1" min="4" max="4"/>
    <col width="42" customWidth="1" min="5" max="5"/>
    <col width="16" customWidth="1" min="6" max="6"/>
  </cols>
  <sheetData>
    <row r="1" ht="24" customHeight="1">
      <c r="A1" s="34" t="inlineStr">
        <is>
          <t>NVIDIA — WACC Build (CAPM Methodology)</t>
        </is>
      </c>
    </row>
    <row r="2" ht="15" customHeight="1">
      <c r="A2" s="2" t="inlineStr">
        <is>
          <t>Base-case WACC: 13.4%  ·  Bear: 15.0%  ·  Bull: 9.5%  ·  Market implied (current price): ~8.5%</t>
        </is>
      </c>
    </row>
    <row r="3" ht="8" customHeight="1"/>
    <row r="4" ht="20" customHeight="1">
      <c r="A4" s="3" t="inlineStr">
        <is>
          <t>COST OF EQUITY (CAPM: Ke = Rf + β × ERP)</t>
        </is>
      </c>
      <c r="B4" s="4" t="n"/>
      <c r="C4" s="5" t="n"/>
    </row>
    <row r="5" ht="18" customHeight="1">
      <c r="A5" s="38" t="inlineStr">
        <is>
          <t>Component</t>
        </is>
      </c>
      <c r="B5" s="7" t="inlineStr">
        <is>
          <t>Value</t>
        </is>
      </c>
      <c r="C5" s="38" t="inlineStr">
        <is>
          <t>Source / Notes</t>
        </is>
      </c>
    </row>
    <row r="6" ht="17" customHeight="1">
      <c r="A6" s="15" t="inlineStr">
        <is>
          <t>Risk-Free Rate (Rf)</t>
        </is>
      </c>
      <c r="B6" s="13" t="n">
        <v>0.045</v>
      </c>
      <c r="C6" s="39" t="inlineStr">
        <is>
          <t>US 10-year Treasury yield, March 2026</t>
        </is>
      </c>
    </row>
    <row r="7" ht="17" customHeight="1">
      <c r="A7" s="15" t="inlineStr">
        <is>
          <t>Equity Risk Premium (ERP)</t>
        </is>
      </c>
      <c r="B7" s="13" t="n">
        <v>0.055</v>
      </c>
      <c r="C7" s="39" t="inlineStr">
        <is>
          <t>Damodaran implied ERP, January 2026</t>
        </is>
      </c>
    </row>
    <row r="8" ht="17" customHeight="1">
      <c r="A8" s="15" t="inlineStr">
        <is>
          <t>Unlevered Beta (Asset Beta)</t>
        </is>
      </c>
      <c r="B8" s="19" t="n">
        <v>1.58</v>
      </c>
      <c r="C8" s="39" t="inlineStr">
        <is>
          <t>Sector comp. average (semiconductor peers)</t>
        </is>
      </c>
    </row>
    <row r="9" ht="17" customHeight="1">
      <c r="A9" s="15" t="inlineStr">
        <is>
          <t>Debt / Equity Ratio</t>
        </is>
      </c>
      <c r="B9" s="16" t="n">
        <v>0.05</v>
      </c>
      <c r="C9" s="39" t="inlineStr">
        <is>
          <t>Market D/E, Dec 2025</t>
        </is>
      </c>
    </row>
    <row r="10" ht="17" customHeight="1">
      <c r="A10" s="15" t="inlineStr">
        <is>
          <t>Tax Rate</t>
        </is>
      </c>
      <c r="B10" s="16" t="n">
        <v>0.14</v>
      </c>
      <c r="C10" s="39" t="inlineStr">
        <is>
          <t>Effective rate FY2025</t>
        </is>
      </c>
    </row>
    <row r="11" ht="17" customHeight="1">
      <c r="A11" s="10" t="inlineStr">
        <is>
          <t>Levered Beta (Hamada eq.)</t>
        </is>
      </c>
      <c r="B11" s="40">
        <f>B8*(1+(1-B10)*B9)</f>
        <v/>
      </c>
      <c r="C11" s="39">
        <f> β_u × [1 + (1-t) × D/E]</f>
        <v/>
      </c>
    </row>
    <row r="12" ht="17" customHeight="1">
      <c r="A12" s="10" t="inlineStr">
        <is>
          <t>Cost of Equity (Ke)</t>
        </is>
      </c>
      <c r="B12" s="25">
        <f>B6+B11*B7</f>
        <v/>
      </c>
      <c r="C12" s="39">
        <f> Rf + β_L × ERP</f>
        <v/>
      </c>
    </row>
    <row r="13" ht="8" customHeight="1"/>
    <row r="14" ht="20" customHeight="1">
      <c r="A14" s="3" t="inlineStr">
        <is>
          <t>COST OF DEBT &amp; CAPITAL STRUCTURE</t>
        </is>
      </c>
      <c r="B14" s="4" t="n"/>
      <c r="C14" s="5" t="n"/>
    </row>
    <row r="15" ht="17" customHeight="1">
      <c r="A15" s="15" t="inlineStr">
        <is>
          <t>Pre-Tax Cost of Debt (Kd)</t>
        </is>
      </c>
      <c r="B15" s="13" t="n">
        <v>0.038</v>
      </c>
      <c r="C15" s="39" t="inlineStr">
        <is>
          <t>Blended yield on NVDA bonds (BBB+)</t>
        </is>
      </c>
    </row>
    <row r="16" ht="17" customHeight="1">
      <c r="A16" s="15" t="inlineStr">
        <is>
          <t>Effective Tax Rate</t>
        </is>
      </c>
      <c r="B16" s="13" t="n">
        <v>0.14</v>
      </c>
      <c r="C16" s="39" t="inlineStr">
        <is>
          <t>FY2025 actual rate</t>
        </is>
      </c>
    </row>
    <row r="17" ht="17" customHeight="1">
      <c r="A17" s="15" t="inlineStr">
        <is>
          <t>Post-Tax Cost of Debt</t>
        </is>
      </c>
      <c r="B17" s="41">
        <f>B15*(1-B16)</f>
        <v/>
      </c>
      <c r="C17" s="39">
        <f> Kd × (1 - Tax)</f>
        <v/>
      </c>
    </row>
    <row r="18" ht="17" customHeight="1">
      <c r="A18" s="15" t="inlineStr">
        <is>
          <t>Market Value of Equity ($bn)</t>
        </is>
      </c>
      <c r="B18" s="42" t="n">
        <v>3293</v>
      </c>
      <c r="C18" s="39" t="inlineStr">
        <is>
          <t>Price × Diluted shares</t>
        </is>
      </c>
    </row>
    <row r="19" ht="17" customHeight="1">
      <c r="A19" s="15" t="inlineStr">
        <is>
          <t>Market Value of Debt ($bn)</t>
        </is>
      </c>
      <c r="B19" s="33" t="n">
        <v>11.2</v>
      </c>
      <c r="C19" s="39" t="inlineStr">
        <is>
          <t>Dec 2025 total debt</t>
        </is>
      </c>
    </row>
    <row r="20" ht="17" customHeight="1">
      <c r="A20" s="10" t="inlineStr">
        <is>
          <t>Total Capital ($bn)</t>
        </is>
      </c>
      <c r="B20" s="32">
        <f>B18+B19</f>
        <v/>
      </c>
      <c r="C20" s="39">
        <f> Equity + Debt</f>
        <v/>
      </c>
    </row>
    <row r="21" ht="17" customHeight="1">
      <c r="A21" s="10" t="inlineStr">
        <is>
          <t>Weight of Equity</t>
        </is>
      </c>
      <c r="B21" s="41">
        <f>B18/B20</f>
        <v/>
      </c>
      <c r="C21" s="39">
        <f> Equity / Total Capital</f>
        <v/>
      </c>
    </row>
    <row r="22" ht="17" customHeight="1">
      <c r="A22" s="10" t="inlineStr">
        <is>
          <t>Weight of Debt</t>
        </is>
      </c>
      <c r="B22" s="41">
        <f>B19/B20</f>
        <v/>
      </c>
      <c r="C22" s="39">
        <f> Debt / Total Capital</f>
        <v/>
      </c>
    </row>
    <row r="23" ht="8" customHeight="1"/>
    <row r="24" ht="20" customHeight="1">
      <c r="A24" s="3" t="inlineStr">
        <is>
          <t>WACC SUMMARY</t>
        </is>
      </c>
      <c r="B24" s="4" t="n"/>
      <c r="C24" s="5" t="n"/>
    </row>
    <row r="25" ht="17" customHeight="1">
      <c r="A25" s="15" t="inlineStr">
        <is>
          <t>Ke × We (Equity Component)</t>
        </is>
      </c>
      <c r="B25" s="41">
        <f>B12*B21</f>
        <v/>
      </c>
    </row>
    <row r="26" ht="17" customHeight="1">
      <c r="A26" s="15" t="inlineStr">
        <is>
          <t>Kd × Wd (Debt Component)</t>
        </is>
      </c>
      <c r="B26" s="41">
        <f>B17*B22</f>
        <v/>
      </c>
    </row>
    <row r="27" ht="17" customHeight="1">
      <c r="A27" s="10" t="inlineStr">
        <is>
          <t>WACC (Base)</t>
        </is>
      </c>
      <c r="B27" s="25">
        <f>B25+B26</f>
        <v/>
      </c>
    </row>
    <row r="28" ht="17" customHeight="1">
      <c r="A28" s="15" t="inlineStr">
        <is>
          <t>WACC (Bear — higher risk)</t>
        </is>
      </c>
      <c r="B28" s="13" t="n">
        <v>0.15</v>
      </c>
    </row>
    <row r="29" ht="17" customHeight="1">
      <c r="A29" s="15" t="inlineStr">
        <is>
          <t>WACC (Bull — platform re-rate)</t>
        </is>
      </c>
      <c r="B29" s="13" t="n">
        <v>0.095</v>
      </c>
    </row>
    <row r="30" ht="17" customHeight="1">
      <c r="A30" s="10" t="inlineStr">
        <is>
          <t>Market-Implied WACC*</t>
        </is>
      </c>
      <c r="B30" s="29" t="n">
        <v>0.08500000000000001</v>
      </c>
    </row>
    <row r="33" ht="36" customHeight="1">
      <c r="A33" s="43" t="inlineStr">
        <is>
          <t>* Market-implied WACC = the discount rate at which DCF equity value = current share price (~$135). This implies the market prices NVDA at a software/platform multiple (WACC ~8-9%) rather than as a semiconductor company (WACC ~13-15%). This compression in required return is the key valuation insight.</t>
        </is>
      </c>
    </row>
    <row r="34"/>
  </sheetData>
  <mergeCells count="6">
    <mergeCell ref="A2:F2"/>
    <mergeCell ref="A14:C14"/>
    <mergeCell ref="A1:F1"/>
    <mergeCell ref="A33:F34"/>
    <mergeCell ref="A4:C4"/>
    <mergeCell ref="A24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34" t="inlineStr">
        <is>
          <t>NVIDIA — DCF Valuation (Base Case)</t>
        </is>
      </c>
    </row>
    <row r="2" ht="15" customHeight="1">
      <c r="A2" s="2" t="inlineStr">
        <is>
          <t>Base WACC: 13.4%  ·  Terminal Growth: 3.0%  ·  Forecast period: FY2026E – FY2030E</t>
        </is>
      </c>
    </row>
    <row r="3" ht="8" customHeight="1"/>
    <row r="4" ht="20" customHeight="1">
      <c r="A4" s="3" t="inlineStr">
        <is>
          <t>FREE CASH FLOW PROJECTION</t>
        </is>
      </c>
      <c r="B4" s="4" t="n"/>
      <c r="C4" s="4" t="n"/>
      <c r="D4" s="4" t="n"/>
      <c r="E4" s="4" t="n"/>
      <c r="F4" s="4" t="n"/>
      <c r="G4" s="4" t="n"/>
      <c r="H4" s="4" t="n"/>
      <c r="I4" s="5" t="n"/>
    </row>
    <row r="5" ht="18" customHeight="1">
      <c r="A5" s="6" t="inlineStr">
        <is>
          <t>Item</t>
        </is>
      </c>
      <c r="B5" s="7" t="inlineStr">
        <is>
          <t>FY2026E</t>
        </is>
      </c>
      <c r="C5" s="7" t="inlineStr">
        <is>
          <t>FY2027E</t>
        </is>
      </c>
      <c r="D5" s="7" t="inlineStr">
        <is>
          <t>FY2028E</t>
        </is>
      </c>
      <c r="E5" s="7" t="inlineStr">
        <is>
          <t>FY2029E</t>
        </is>
      </c>
      <c r="F5" s="7" t="inlineStr">
        <is>
          <t>FY2030E</t>
        </is>
      </c>
      <c r="G5" s="7" t="inlineStr">
        <is>
          <t>Terminal</t>
        </is>
      </c>
    </row>
    <row r="6" ht="20" customHeight="1">
      <c r="A6" s="10" t="inlineStr">
        <is>
          <t>Free Cash Flow ($bn)</t>
        </is>
      </c>
      <c r="B6" s="37" t="n">
        <v>99.3</v>
      </c>
      <c r="C6" s="37" t="n">
        <v>119.7</v>
      </c>
      <c r="D6" s="37" t="n">
        <v>139.1</v>
      </c>
      <c r="E6" s="37" t="n">
        <v>156.3</v>
      </c>
      <c r="F6" s="37" t="n">
        <v>169.8</v>
      </c>
      <c r="G6" s="11" t="n">
        <v>174.9</v>
      </c>
    </row>
    <row r="7" ht="16" customHeight="1">
      <c r="A7" s="15" t="inlineStr">
        <is>
          <t>WACC (Base Case)</t>
        </is>
      </c>
      <c r="B7" s="16" t="n">
        <v>0.134</v>
      </c>
      <c r="C7" s="16" t="n">
        <v>0.134</v>
      </c>
      <c r="D7" s="16" t="n">
        <v>0.134</v>
      </c>
      <c r="E7" s="16" t="n">
        <v>0.134</v>
      </c>
      <c r="F7" s="16" t="n">
        <v>0.134</v>
      </c>
    </row>
    <row r="8" ht="16" customHeight="1">
      <c r="A8" s="15" t="inlineStr">
        <is>
          <t>Discount Period (years)</t>
        </is>
      </c>
      <c r="B8" s="44" t="n">
        <v>1</v>
      </c>
      <c r="C8" s="44" t="n">
        <v>2</v>
      </c>
      <c r="D8" s="44" t="n">
        <v>3</v>
      </c>
      <c r="E8" s="44" t="n">
        <v>4</v>
      </c>
      <c r="F8" s="44" t="n">
        <v>5</v>
      </c>
    </row>
    <row r="9" ht="16" customHeight="1">
      <c r="A9" s="15" t="inlineStr">
        <is>
          <t>Discount Factor</t>
        </is>
      </c>
      <c r="B9" s="45">
        <f>1/(1+B7)^B8</f>
        <v/>
      </c>
      <c r="C9" s="45">
        <f>1/(1+C7)^C8</f>
        <v/>
      </c>
      <c r="D9" s="45">
        <f>1/(1+D7)^D8</f>
        <v/>
      </c>
      <c r="E9" s="45">
        <f>1/(1+E7)^E8</f>
        <v/>
      </c>
      <c r="F9" s="45">
        <f>1/(1+F7)^F8</f>
        <v/>
      </c>
    </row>
    <row r="10" ht="16" customHeight="1">
      <c r="A10" s="15" t="inlineStr">
        <is>
          <t>PV of FCF ($bn)</t>
        </is>
      </c>
      <c r="B10" s="46">
        <f>B6*B9</f>
        <v/>
      </c>
      <c r="C10" s="46">
        <f>C6*C9</f>
        <v/>
      </c>
      <c r="D10" s="46">
        <f>D6*D9</f>
        <v/>
      </c>
      <c r="E10" s="46">
        <f>E6*E9</f>
        <v/>
      </c>
      <c r="F10" s="46">
        <f>F6*F9</f>
        <v/>
      </c>
    </row>
    <row r="11" ht="8" customHeight="1"/>
    <row r="12" ht="20" customHeight="1">
      <c r="A12" s="3" t="inlineStr">
        <is>
          <t>TERMINAL VALUE</t>
        </is>
      </c>
      <c r="B12" s="4" t="n"/>
      <c r="C12" s="4" t="n"/>
      <c r="D12" s="4" t="n"/>
      <c r="E12" s="4" t="n"/>
      <c r="F12" s="4" t="n"/>
      <c r="G12" s="4" t="n"/>
      <c r="H12" s="4" t="n"/>
      <c r="I12" s="5" t="n"/>
    </row>
    <row r="13" ht="17" customHeight="1">
      <c r="A13" s="10" t="inlineStr">
        <is>
          <t>Terminal FCF ($bn)</t>
        </is>
      </c>
      <c r="B13" s="37" t="n">
        <v>174.9</v>
      </c>
    </row>
    <row r="14" ht="17" customHeight="1">
      <c r="A14" s="15" t="inlineStr">
        <is>
          <t>Terminal Growth Rate (g)</t>
        </is>
      </c>
      <c r="B14" s="13" t="n">
        <v>0.03</v>
      </c>
    </row>
    <row r="15" ht="17" customHeight="1">
      <c r="A15" s="15" t="inlineStr">
        <is>
          <t>WACC</t>
        </is>
      </c>
      <c r="B15" s="13" t="n">
        <v>0.134</v>
      </c>
    </row>
    <row r="16" ht="17" customHeight="1">
      <c r="A16" s="10" t="inlineStr">
        <is>
          <t>Terminal Value — Gordon Growth ($bn)</t>
        </is>
      </c>
      <c r="B16" s="47" t="n">
        <v>1681.7</v>
      </c>
    </row>
    <row r="17" ht="17" customHeight="1">
      <c r="A17" s="10" t="inlineStr">
        <is>
          <t>PV of Terminal Value ($bn)</t>
        </is>
      </c>
      <c r="B17" s="47" t="n">
        <v>896.8</v>
      </c>
    </row>
    <row r="18" ht="17" customHeight="1">
      <c r="A18" s="15" t="inlineStr">
        <is>
          <t>% of Total Enterprise Value</t>
        </is>
      </c>
      <c r="B18" s="48" t="n">
        <v>0.66</v>
      </c>
    </row>
    <row r="19" ht="8" customHeight="1"/>
    <row r="20" ht="20" customHeight="1">
      <c r="A20" s="3" t="inlineStr">
        <is>
          <t>EQUITY BRIDGE &amp; IMPLIED SHARE PRICE</t>
        </is>
      </c>
      <c r="B20" s="4" t="n"/>
      <c r="C20" s="4" t="n"/>
      <c r="D20" s="4" t="n"/>
      <c r="E20" s="4" t="n"/>
      <c r="F20" s="4" t="n"/>
      <c r="G20" s="4" t="n"/>
      <c r="H20" s="4" t="n"/>
      <c r="I20" s="5" t="n"/>
    </row>
    <row r="21" ht="17" customHeight="1">
      <c r="A21" s="15" t="inlineStr">
        <is>
          <t>Sum of PV of FCFs (FY26-30E, $bn)</t>
        </is>
      </c>
      <c r="B21" s="33" t="n">
        <v>461.1</v>
      </c>
    </row>
    <row r="22" ht="17" customHeight="1">
      <c r="A22" s="15" t="inlineStr">
        <is>
          <t>PV of Terminal Value ($bn)</t>
        </is>
      </c>
      <c r="B22" s="33" t="n">
        <v>896.8</v>
      </c>
    </row>
    <row r="23" ht="18" customHeight="1">
      <c r="A23" s="10" t="inlineStr">
        <is>
          <t>Enterprise Value — DCF ($bn)</t>
        </is>
      </c>
      <c r="B23" s="47" t="n">
        <v>1358</v>
      </c>
    </row>
    <row r="24" ht="17" customHeight="1">
      <c r="A24" s="15" t="inlineStr">
        <is>
          <t>+ Net Cash ($bn)</t>
        </is>
      </c>
      <c r="B24" s="33" t="n">
        <v>31.5</v>
      </c>
    </row>
    <row r="25" ht="18" customHeight="1">
      <c r="A25" s="10" t="inlineStr">
        <is>
          <t>Equity Value ($bn)</t>
        </is>
      </c>
      <c r="B25" s="47" t="n">
        <v>1390</v>
      </c>
    </row>
    <row r="26" ht="17" customHeight="1">
      <c r="A26" s="15" t="inlineStr">
        <is>
          <t>Diluted Shares Outstanding (bn)</t>
        </is>
      </c>
      <c r="B26" s="11" t="n">
        <v>24.4</v>
      </c>
    </row>
    <row r="27" ht="18" customHeight="1">
      <c r="A27" s="10" t="inlineStr">
        <is>
          <t>Implied Share Price (Base WACC 13.4%)</t>
        </is>
      </c>
      <c r="B27" s="49" t="n">
        <v>56.97</v>
      </c>
    </row>
    <row r="28" ht="17" customHeight="1">
      <c r="A28" s="15" t="inlineStr">
        <is>
          <t>Current Share Price</t>
        </is>
      </c>
      <c r="B28" s="31" t="n">
        <v>135</v>
      </c>
    </row>
    <row r="29" ht="17" customHeight="1">
      <c r="A29" s="15" t="inlineStr">
        <is>
          <t>Upside / (Downside) to DCF</t>
        </is>
      </c>
      <c r="B29" s="50" t="n">
        <v>-0.578</v>
      </c>
    </row>
    <row r="31" ht="50" customHeight="1">
      <c r="A31" s="51" t="inlineStr">
        <is>
          <t>KEY INSIGHT: Base DCF (WACC 13.4%, TGR 3.0%) implies ~$57/share vs current ~$135. For DCF to justify current price, market must be applying WACC ~8.5% — treating NVDA as a software/platform company, not a cyclical semiconductor. The bull case rests on CUDA moat permanence and structural AI capex; the bear case is ASIC dilution + normalising margins.</t>
        </is>
      </c>
    </row>
    <row r="32"/>
    <row r="33"/>
  </sheetData>
  <mergeCells count="6">
    <mergeCell ref="A2:I2"/>
    <mergeCell ref="A31:I33"/>
    <mergeCell ref="A1:I1"/>
    <mergeCell ref="A12:I12"/>
    <mergeCell ref="A4:I4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34" t="inlineStr">
        <is>
          <t>NVIDIA — Sensitivity: Implied Share Price vs WACC &amp; Terminal Growth Rate</t>
        </is>
      </c>
    </row>
    <row r="2" ht="15" customHeight="1">
      <c r="A2" s="2" t="inlineStr">
        <is>
          <t>Implied equity value per share ($) for each WACC / terminal growth rate combination. Current price highlighted in yellow.</t>
        </is>
      </c>
    </row>
    <row r="3" ht="8" customHeight="1"/>
    <row r="4" ht="28" customHeight="1">
      <c r="A4" s="52" t="inlineStr">
        <is>
          <t>WACC → 
TGR ↓</t>
        </is>
      </c>
      <c r="B4" s="7" t="inlineStr">
        <is>
          <t>8.5%</t>
        </is>
      </c>
      <c r="C4" s="7" t="inlineStr">
        <is>
          <t>9.0%</t>
        </is>
      </c>
      <c r="D4" s="7" t="inlineStr">
        <is>
          <t>9.5%</t>
        </is>
      </c>
      <c r="E4" s="7" t="inlineStr">
        <is>
          <t>10.0%</t>
        </is>
      </c>
      <c r="F4" s="7" t="inlineStr">
        <is>
          <t>10.5%</t>
        </is>
      </c>
      <c r="G4" s="7" t="inlineStr">
        <is>
          <t>11.0%</t>
        </is>
      </c>
      <c r="H4" s="7" t="inlineStr">
        <is>
          <t>11.5%</t>
        </is>
      </c>
      <c r="I4" s="7" t="inlineStr">
        <is>
          <t>12.0%</t>
        </is>
      </c>
      <c r="J4" s="7" t="inlineStr">
        <is>
          <t>13.0%</t>
        </is>
      </c>
      <c r="K4" s="7" t="inlineStr">
        <is>
          <t>14.0%</t>
        </is>
      </c>
      <c r="L4" s="7" t="inlineStr">
        <is>
          <t>15.0%</t>
        </is>
      </c>
    </row>
    <row r="5" ht="20" customHeight="1">
      <c r="A5" s="53" t="inlineStr">
        <is>
          <t>2.0%</t>
        </is>
      </c>
      <c r="B5" s="54" t="n">
        <v>96</v>
      </c>
      <c r="C5" s="54" t="n">
        <v>89</v>
      </c>
      <c r="D5" s="54" t="n">
        <v>82</v>
      </c>
      <c r="E5" s="54" t="n">
        <v>77</v>
      </c>
      <c r="F5" s="54" t="n">
        <v>72</v>
      </c>
      <c r="G5" s="54" t="n">
        <v>68</v>
      </c>
      <c r="H5" s="54" t="n">
        <v>65</v>
      </c>
      <c r="I5" s="54" t="n">
        <v>61</v>
      </c>
      <c r="J5" s="54" t="n">
        <v>55</v>
      </c>
      <c r="K5" s="54" t="n">
        <v>51</v>
      </c>
      <c r="L5" s="54" t="n">
        <v>47</v>
      </c>
    </row>
    <row r="6" ht="20" customHeight="1">
      <c r="A6" s="53" t="inlineStr">
        <is>
          <t>2.5%</t>
        </is>
      </c>
      <c r="B6" s="54" t="n">
        <v>102</v>
      </c>
      <c r="C6" s="54" t="n">
        <v>94</v>
      </c>
      <c r="D6" s="54" t="n">
        <v>87</v>
      </c>
      <c r="E6" s="54" t="n">
        <v>81</v>
      </c>
      <c r="F6" s="54" t="n">
        <v>76</v>
      </c>
      <c r="G6" s="54" t="n">
        <v>71</v>
      </c>
      <c r="H6" s="54" t="n">
        <v>67</v>
      </c>
      <c r="I6" s="54" t="n">
        <v>64</v>
      </c>
      <c r="J6" s="54" t="n">
        <v>57</v>
      </c>
      <c r="K6" s="54" t="n">
        <v>52</v>
      </c>
      <c r="L6" s="54" t="n">
        <v>48</v>
      </c>
    </row>
    <row r="7" ht="20" customHeight="1">
      <c r="A7" s="53" t="inlineStr">
        <is>
          <t>3.0%</t>
        </is>
      </c>
      <c r="B7" s="54" t="n">
        <v>110</v>
      </c>
      <c r="C7" s="54" t="n">
        <v>100</v>
      </c>
      <c r="D7" s="54" t="n">
        <v>92</v>
      </c>
      <c r="E7" s="54" t="n">
        <v>86</v>
      </c>
      <c r="F7" s="54" t="n">
        <v>80</v>
      </c>
      <c r="G7" s="54" t="n">
        <v>75</v>
      </c>
      <c r="H7" s="54" t="n">
        <v>70</v>
      </c>
      <c r="I7" s="54" t="n">
        <v>66</v>
      </c>
      <c r="J7" s="54" t="n">
        <v>59</v>
      </c>
      <c r="K7" s="54" t="n">
        <v>54</v>
      </c>
      <c r="L7" s="54" t="n">
        <v>49</v>
      </c>
    </row>
    <row r="8" ht="20" customHeight="1">
      <c r="A8" s="53" t="inlineStr">
        <is>
          <t>3.5%</t>
        </is>
      </c>
      <c r="B8" s="54" t="n">
        <v>119</v>
      </c>
      <c r="C8" s="54" t="n">
        <v>108</v>
      </c>
      <c r="D8" s="54" t="n">
        <v>99</v>
      </c>
      <c r="E8" s="54" t="n">
        <v>91</v>
      </c>
      <c r="F8" s="54" t="n">
        <v>84</v>
      </c>
      <c r="G8" s="54" t="n">
        <v>78</v>
      </c>
      <c r="H8" s="54" t="n">
        <v>73</v>
      </c>
      <c r="I8" s="54" t="n">
        <v>69</v>
      </c>
      <c r="J8" s="54" t="n">
        <v>62</v>
      </c>
      <c r="K8" s="54" t="n">
        <v>56</v>
      </c>
      <c r="L8" s="54" t="n">
        <v>51</v>
      </c>
    </row>
    <row r="9" ht="20" customHeight="1">
      <c r="A9" s="53" t="inlineStr">
        <is>
          <t>4.0%</t>
        </is>
      </c>
      <c r="B9" s="55" t="n">
        <v>130</v>
      </c>
      <c r="C9" s="54" t="n">
        <v>117</v>
      </c>
      <c r="D9" s="54" t="n">
        <v>106</v>
      </c>
      <c r="E9" s="54" t="n">
        <v>97</v>
      </c>
      <c r="F9" s="54" t="n">
        <v>89</v>
      </c>
      <c r="G9" s="54" t="n">
        <v>83</v>
      </c>
      <c r="H9" s="54" t="n">
        <v>77</v>
      </c>
      <c r="I9" s="54" t="n">
        <v>72</v>
      </c>
      <c r="J9" s="54" t="n">
        <v>64</v>
      </c>
      <c r="K9" s="54" t="n">
        <v>57</v>
      </c>
      <c r="L9" s="54" t="n">
        <v>52</v>
      </c>
    </row>
    <row r="11" ht="30" customHeight="1">
      <c r="A11" s="56" t="inlineStr">
        <is>
          <t>Legend: Green = DCF value &gt; 110% of current price (upside). Yellow = ±10% of current price (~$135). Red = DCF value &lt; 90% of current price (downside). Green circle = base case (WACC 13.4%, TGR 3.0%). Yellow band shows WACC range at which DCF justifies current market price.</t>
        </is>
      </c>
    </row>
    <row r="12"/>
  </sheetData>
  <mergeCells count="3">
    <mergeCell ref="A2:L2"/>
    <mergeCell ref="A11:L1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2026-03-04T00:53:50Z</dcterms:created>
  <dcterms:modified xmlns:dcterms="http://purl.org/dc/terms/" xmlns:xsi="http://www.w3.org/2001/XMLSchema-instance" xsi:type="dcterms:W3CDTF">2026-03-04T00:53:50Z</dcterms:modified>
</cp:coreProperties>
</file>