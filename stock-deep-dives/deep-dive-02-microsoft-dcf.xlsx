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Model Inputs" sheetId="1" state="visible" r:id="rId1"/>
    <sheet xmlns:r="http://schemas.openxmlformats.org/officeDocument/2006/relationships" name="2. Revenue &amp; P&amp;L" sheetId="2" state="visible" r:id="rId2"/>
    <sheet xmlns:r="http://schemas.openxmlformats.org/officeDocument/2006/relationships" name="3. WACC Build" sheetId="3" state="visible" r:id="rId3"/>
    <sheet xmlns:r="http://schemas.openxmlformats.org/officeDocument/2006/relationships" name="4. DCF Valuation" sheetId="4" state="visible" r:id="rId4"/>
    <sheet xmlns:r="http://schemas.openxmlformats.org/officeDocument/2006/relationships" name="5. Sensitivity 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$#,##0.00"/>
    <numFmt numFmtId="167" formatCode="$#,##0.0"/>
    <numFmt numFmtId="168" formatCode="0.0000"/>
    <numFmt numFmtId="169" formatCode="$#,##0"/>
    <numFmt numFmtId="170" formatCode="+0.0%;-0.0%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color rgb="000000FF"/>
      <sz val="10"/>
    </font>
    <font>
      <name val="Calibri"/>
      <b val="1"/>
      <color rgb="000000FF"/>
      <sz val="10"/>
    </font>
    <font>
      <name val="Calibri"/>
      <color rgb="00777777"/>
      <sz val="9"/>
    </font>
    <font>
      <name val="Calibri"/>
      <b val="1"/>
      <color rgb="001E8449"/>
      <sz val="10"/>
    </font>
    <font>
      <name val="Calibri"/>
      <b val="1"/>
      <color rgb="00FFFFFF"/>
      <sz val="13"/>
    </font>
    <font>
      <name val="Calibri"/>
      <color rgb="00555555"/>
      <sz val="9"/>
    </font>
    <font>
      <name val="Calibri"/>
      <b val="1"/>
      <color rgb="007B3F00"/>
      <sz val="11"/>
    </font>
    <font>
      <name val="Calibri"/>
      <i val="1"/>
      <color rgb="00333333"/>
      <sz val="8.5"/>
    </font>
    <font>
      <name val="Calibri"/>
      <color rgb="001E8449"/>
      <sz val="10"/>
    </font>
    <font>
      <name val="Calibri"/>
      <b val="1"/>
      <color rgb="007B3F00"/>
      <sz val="10"/>
    </font>
    <font>
      <name val="Calibri"/>
      <color rgb="007B241C"/>
      <sz val="10"/>
    </font>
  </fonts>
  <fills count="9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B4F72"/>
      </patternFill>
    </fill>
    <fill>
      <patternFill patternType="solid">
        <fgColor rgb="002E86AB"/>
      </patternFill>
    </fill>
    <fill>
      <patternFill patternType="solid">
        <fgColor rgb="00F4F6F8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FDEDEC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left" vertical="center" indent="1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164" fontId="7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left" vertical="center" indent="1"/>
    </xf>
    <xf numFmtId="10" fontId="7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left" vertical="center"/>
    </xf>
    <xf numFmtId="2" fontId="7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1"/>
    </xf>
    <xf numFmtId="164" fontId="8" fillId="0" borderId="1" applyAlignment="1" pivotButton="0" quotePrefix="0" xfId="0">
      <alignment horizontal="right" vertical="center"/>
    </xf>
    <xf numFmtId="10" fontId="6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 indent="1"/>
    </xf>
    <xf numFmtId="10" fontId="6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165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left" vertical="center" indent="1"/>
    </xf>
    <xf numFmtId="165" fontId="9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left" vertical="center" indent="1"/>
    </xf>
    <xf numFmtId="10" fontId="10" fillId="6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left" vertical="center" indent="1"/>
    </xf>
    <xf numFmtId="10" fontId="8" fillId="7" borderId="1" applyAlignment="1" pivotButton="0" quotePrefix="0" xfId="0">
      <alignment horizontal="right" vertical="center"/>
    </xf>
    <xf numFmtId="166" fontId="8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0" fontId="11" fillId="2" borderId="0" applyAlignment="1" pivotButton="0" quotePrefix="0" xfId="0">
      <alignment horizontal="left" vertical="center" indent="1"/>
    </xf>
    <xf numFmtId="165" fontId="6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2"/>
    </xf>
    <xf numFmtId="164" fontId="6" fillId="0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168" fontId="7" fillId="0" borderId="1" applyAlignment="1" pivotButton="0" quotePrefix="0" xfId="0">
      <alignment horizontal="right" vertical="center"/>
    </xf>
    <xf numFmtId="167" fontId="7" fillId="5" borderId="1" applyAlignment="1" pivotButton="0" quotePrefix="0" xfId="0">
      <alignment horizontal="right" vertical="center"/>
    </xf>
    <xf numFmtId="169" fontId="10" fillId="6" borderId="1" applyAlignment="1" pivotButton="0" quotePrefix="0" xfId="0">
      <alignment horizontal="right" vertical="center"/>
    </xf>
    <xf numFmtId="169" fontId="7" fillId="0" borderId="1" applyAlignment="1" pivotButton="0" quotePrefix="0" xfId="0">
      <alignment horizontal="right" vertical="center"/>
    </xf>
    <xf numFmtId="169" fontId="13" fillId="7" borderId="1" applyAlignment="1" pivotButton="0" quotePrefix="0" xfId="0">
      <alignment horizontal="right" vertical="center"/>
    </xf>
    <xf numFmtId="166" fontId="7" fillId="0" borderId="1" applyAlignment="1" pivotButton="0" quotePrefix="0" xfId="0">
      <alignment horizontal="right" vertical="center"/>
    </xf>
    <xf numFmtId="170" fontId="10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9" fontId="15" fillId="6" borderId="1" applyAlignment="1" pivotButton="0" quotePrefix="0" xfId="0">
      <alignment horizontal="center" vertical="center"/>
    </xf>
    <xf numFmtId="169" fontId="16" fillId="7" borderId="1" applyAlignment="1" pivotButton="0" quotePrefix="0" xfId="0">
      <alignment horizontal="center" vertical="center"/>
    </xf>
    <xf numFmtId="169" fontId="17" fillId="8" borderId="1" applyAlignment="1" pivotButton="0" quotePrefix="0" xfId="0">
      <alignment horizontal="center" vertical="center"/>
    </xf>
    <xf numFmtId="169" fontId="1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6" customHeight="1">
      <c r="A1" s="1" t="inlineStr">
        <is>
          <t>Microsoft Corporation — DCF Model Inputs</t>
        </is>
      </c>
    </row>
    <row r="2" ht="16" customHeight="1">
      <c r="A2" s="2" t="inlineStr">
        <is>
          <t>Stock Deep-Dive Series  ·  Zak Whatmough  ·  March 2026  |  FY ending June  |  Blue = inputs</t>
        </is>
      </c>
    </row>
    <row r="3" ht="6" customHeight="1"/>
    <row r="4" ht="20" customHeight="1">
      <c r="A4" s="3" t="inlineStr">
        <is>
          <t>REVENUE — SEGMENT BUILD (FY ending June, $bn)</t>
        </is>
      </c>
      <c r="B4" s="4" t="n"/>
      <c r="C4" s="4" t="n"/>
      <c r="D4" s="5" t="n"/>
      <c r="E4" s="3" t="inlineStr">
        <is>
          <t>WACC ASSUMPTIONS (Microsoft — lower risk vs NVDA)</t>
        </is>
      </c>
      <c r="F4" s="4" t="n"/>
      <c r="G4" s="5" t="n"/>
    </row>
    <row r="5" ht="18" customHeight="1">
      <c r="A5" s="6" t="inlineStr">
        <is>
          <t>Segment</t>
        </is>
      </c>
      <c r="B5" s="7" t="inlineStr">
        <is>
          <t>FY2025A</t>
        </is>
      </c>
      <c r="C5" s="7" t="inlineStr">
        <is>
          <t>FY2026E</t>
        </is>
      </c>
      <c r="D5" s="7" t="inlineStr">
        <is>
          <t>FY2027E</t>
        </is>
      </c>
      <c r="E5" s="8" t="inlineStr">
        <is>
          <t>Assumption</t>
        </is>
      </c>
      <c r="F5" s="9" t="inlineStr">
        <is>
          <t>Value</t>
        </is>
      </c>
      <c r="G5" s="8" t="inlineStr">
        <is>
          <t>Note</t>
        </is>
      </c>
    </row>
    <row r="6" ht="17" customHeight="1">
      <c r="A6" s="10" t="inlineStr">
        <is>
          <t>Productivity &amp; Business Processes</t>
        </is>
      </c>
      <c r="B6" s="11" t="n">
        <v>72.90000000000001</v>
      </c>
      <c r="C6" s="11" t="n">
        <v>86.7</v>
      </c>
      <c r="D6" s="11" t="n">
        <v>103</v>
      </c>
      <c r="E6" s="12" t="inlineStr">
        <is>
          <t>Risk-Free Rate (US 10yr)</t>
        </is>
      </c>
      <c r="F6" s="13" t="n">
        <v>0.045</v>
      </c>
      <c r="G6" s="14" t="inlineStr">
        <is>
          <t>Mar 2026</t>
        </is>
      </c>
    </row>
    <row r="7" ht="17" customHeight="1">
      <c r="A7" s="10" t="inlineStr">
        <is>
          <t>Intelligent Cloud</t>
        </is>
      </c>
      <c r="B7" s="11" t="n">
        <v>143.9</v>
      </c>
      <c r="C7" s="11" t="n">
        <v>178.5</v>
      </c>
      <c r="D7" s="11" t="n">
        <v>217.5</v>
      </c>
      <c r="E7" s="12" t="inlineStr">
        <is>
          <t>Equity Risk Premium</t>
        </is>
      </c>
      <c r="F7" s="13" t="n">
        <v>0.055</v>
      </c>
      <c r="G7" s="14" t="inlineStr">
        <is>
          <t>Damodaran</t>
        </is>
      </c>
    </row>
    <row r="8" ht="17" customHeight="1">
      <c r="A8" s="10" t="inlineStr">
        <is>
          <t>More Personal Computing</t>
        </is>
      </c>
      <c r="B8" s="11" t="n">
        <v>62.2</v>
      </c>
      <c r="C8" s="11" t="n">
        <v>65.3</v>
      </c>
      <c r="D8" s="11" t="n">
        <v>71.8</v>
      </c>
      <c r="E8" s="12" t="inlineStr">
        <is>
          <t>Levered Beta</t>
        </is>
      </c>
      <c r="F8" s="15" t="n">
        <v>0.9</v>
      </c>
      <c r="G8" s="14" t="inlineStr">
        <is>
          <t>Bloomberg 60-month; MSFT lower beta than NVDA</t>
        </is>
      </c>
    </row>
    <row r="9" ht="17" customHeight="1">
      <c r="A9" s="16" t="inlineStr">
        <is>
          <t>Total Revenue</t>
        </is>
      </c>
      <c r="B9" s="17" t="n">
        <v>279</v>
      </c>
      <c r="C9" s="17" t="n">
        <v>330.5</v>
      </c>
      <c r="D9" s="17" t="n">
        <v>392.3</v>
      </c>
      <c r="E9" s="12" t="inlineStr">
        <is>
          <t>Cost of Equity (Ke)</t>
        </is>
      </c>
      <c r="F9" s="18">
        <f>F6+F8*F7</f>
        <v/>
      </c>
      <c r="G9" s="14">
        <f> Rf + β × ERP</f>
        <v/>
      </c>
    </row>
    <row r="10" ht="17" customHeight="1">
      <c r="E10" s="10" t="inlineStr">
        <is>
          <t>Pre-Tax Cost of Debt</t>
        </is>
      </c>
      <c r="F10" s="13" t="n">
        <v>0.035</v>
      </c>
      <c r="G10" s="19" t="inlineStr">
        <is>
          <t>AAA-rated; tight spreads</t>
        </is>
      </c>
    </row>
    <row r="11" ht="17" customHeight="1">
      <c r="A11" s="3" t="inlineStr">
        <is>
          <t>MARGIN &amp; CASH FLOW ASSUMPTIONS</t>
        </is>
      </c>
      <c r="B11" s="4" t="n"/>
      <c r="C11" s="4" t="n"/>
      <c r="D11" s="5" t="n"/>
      <c r="E11" s="10" t="inlineStr">
        <is>
          <t>Effective Tax Rate</t>
        </is>
      </c>
      <c r="F11" s="13" t="n">
        <v>0.18</v>
      </c>
      <c r="G11" s="19" t="inlineStr">
        <is>
          <t>FY2025 actual</t>
        </is>
      </c>
    </row>
    <row r="12" ht="17" customHeight="1">
      <c r="A12" s="6" t="inlineStr">
        <is>
          <t>Assumption</t>
        </is>
      </c>
      <c r="B12" s="7" t="inlineStr">
        <is>
          <t>FY2025A</t>
        </is>
      </c>
      <c r="C12" s="7" t="inlineStr">
        <is>
          <t>FY2026E</t>
        </is>
      </c>
      <c r="D12" s="7" t="inlineStr">
        <is>
          <t>FY2027E</t>
        </is>
      </c>
      <c r="E12" s="20" t="inlineStr">
        <is>
          <t>Post-Tax Cost of Debt</t>
        </is>
      </c>
      <c r="F12" s="21">
        <f>F10*(1-F11)</f>
        <v/>
      </c>
      <c r="G12" s="22">
        <f> Kd × (1-t)</f>
        <v/>
      </c>
    </row>
    <row r="13" ht="17" customHeight="1">
      <c r="A13" s="10" t="inlineStr">
        <is>
          <t>Gross Margin (%)</t>
        </is>
      </c>
      <c r="B13" s="23" t="n">
        <v>0.699</v>
      </c>
      <c r="C13" s="23" t="n">
        <v>0.709</v>
      </c>
      <c r="D13" s="23" t="n">
        <v>0.716</v>
      </c>
      <c r="E13" s="24" t="inlineStr">
        <is>
          <t>Debt / Total Capital</t>
        </is>
      </c>
      <c r="F13" s="13" t="n">
        <v>0.12</v>
      </c>
      <c r="G13" s="25" t="inlineStr">
        <is>
          <t>Dec 2025</t>
        </is>
      </c>
    </row>
    <row r="14" ht="17" customHeight="1">
      <c r="A14" s="10" t="inlineStr">
        <is>
          <t>Operating Margin (%)</t>
        </is>
      </c>
      <c r="B14" s="23" t="n">
        <v>0.45</v>
      </c>
      <c r="C14" s="23" t="n">
        <v>0.462</v>
      </c>
      <c r="D14" s="23" t="n">
        <v>0.471</v>
      </c>
      <c r="E14" s="24" t="inlineStr">
        <is>
          <t>Equity / Total Capital</t>
        </is>
      </c>
      <c r="F14" s="18">
        <f>1-F13</f>
        <v/>
      </c>
      <c r="G14" s="25">
        <f> 1 - Debt weight</f>
        <v/>
      </c>
    </row>
    <row r="15" ht="17" customHeight="1">
      <c r="A15" s="10" t="inlineStr">
        <is>
          <t>Effective Tax Rate (%)</t>
        </is>
      </c>
      <c r="B15" s="23" t="n">
        <v>0.18</v>
      </c>
      <c r="C15" s="23" t="n">
        <v>0.18</v>
      </c>
      <c r="D15" s="23" t="n">
        <v>0.182</v>
      </c>
      <c r="E15" s="26" t="inlineStr">
        <is>
          <t>WACC (Base)</t>
        </is>
      </c>
      <c r="F15" s="27">
        <f>F14*F9+F13*F12</f>
        <v/>
      </c>
      <c r="G15" s="25" t="inlineStr">
        <is>
          <t>Wtd avg cost of capital</t>
        </is>
      </c>
    </row>
    <row r="16" ht="8" customHeight="1">
      <c r="A16" s="10" t="inlineStr">
        <is>
          <t>D&amp;A (% revenue)</t>
        </is>
      </c>
      <c r="B16" s="23" t="n">
        <v>0.043</v>
      </c>
      <c r="C16" s="23" t="n">
        <v>0.043</v>
      </c>
      <c r="D16" s="23" t="n">
        <v>0.043</v>
      </c>
      <c r="E16" s="23" t="n">
        <v>0.042</v>
      </c>
      <c r="F16" s="23" t="n">
        <v>0.042</v>
      </c>
      <c r="G16" s="23" t="n">
        <v>0.042</v>
      </c>
    </row>
    <row r="17" ht="20" customHeight="1">
      <c r="A17" s="10" t="inlineStr">
        <is>
          <t>CapEx (% revenue)</t>
        </is>
      </c>
      <c r="B17" s="23" t="n">
        <v>0.07000000000000001</v>
      </c>
      <c r="C17" s="23" t="n">
        <v>0.075</v>
      </c>
      <c r="D17" s="23" t="n">
        <v>0.077</v>
      </c>
      <c r="E17" s="28" t="inlineStr">
        <is>
          <t>TERMINAL VALUE &amp; MARKET DATA</t>
        </is>
      </c>
      <c r="F17" s="4" t="n"/>
      <c r="G17" s="5" t="n"/>
    </row>
    <row r="18" ht="17" customHeight="1">
      <c r="A18" s="10" t="inlineStr">
        <is>
          <t>Change in Working Cap (%)</t>
        </is>
      </c>
      <c r="B18" s="23" t="n">
        <v>0.01</v>
      </c>
      <c r="C18" s="23" t="n">
        <v>0.01</v>
      </c>
      <c r="D18" s="23" t="n">
        <v>0.01</v>
      </c>
      <c r="E18" s="24" t="inlineStr">
        <is>
          <t>Terminal Growth Rate (Bear)</t>
        </is>
      </c>
      <c r="F18" s="13" t="n">
        <v>0.025</v>
      </c>
      <c r="G18" s="23" t="n">
        <v>0.01</v>
      </c>
    </row>
    <row r="19" ht="17" customHeight="1">
      <c r="E19" s="16" t="inlineStr">
        <is>
          <t>Terminal Growth Rate (Base)</t>
        </is>
      </c>
      <c r="F19" s="29" t="n">
        <v>0.035</v>
      </c>
    </row>
    <row r="20" ht="17" customHeight="1">
      <c r="E20" s="10" t="inlineStr">
        <is>
          <t>Terminal Growth Rate (Bull)</t>
        </is>
      </c>
      <c r="F20" s="13" t="n">
        <v>0.045</v>
      </c>
    </row>
    <row r="21" ht="17" customHeight="1">
      <c r="E21" s="16" t="inlineStr">
        <is>
          <t>Current Share Price ($)</t>
        </is>
      </c>
      <c r="F21" s="30" t="n">
        <v>407</v>
      </c>
    </row>
    <row r="22" ht="17" customHeight="1">
      <c r="E22" s="10" t="inlineStr">
        <is>
          <t>Diluted Shares (bn)</t>
        </is>
      </c>
      <c r="F22" s="31" t="n">
        <v>7.44</v>
      </c>
    </row>
    <row r="23" ht="17" customHeight="1">
      <c r="E23" s="10" t="inlineStr">
        <is>
          <t>Net Cash / (Debt) ($bn)</t>
        </is>
      </c>
      <c r="F23" s="32" t="n">
        <v>24.3</v>
      </c>
    </row>
  </sheetData>
  <mergeCells count="6">
    <mergeCell ref="A1:H1"/>
    <mergeCell ref="A4:D4"/>
    <mergeCell ref="A2:H2"/>
    <mergeCell ref="E17:G17"/>
    <mergeCell ref="E4:G4"/>
    <mergeCell ref="A11:D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4" customHeight="1">
      <c r="A1" s="33" t="inlineStr">
        <is>
          <t>Microsoft — Revenue &amp; P&amp;L Build → Free Cash Flow</t>
        </is>
      </c>
    </row>
    <row r="2" ht="15" customHeight="1">
      <c r="A2" s="2" t="inlineStr">
        <is>
          <t>All figures $bn  ·  FY ending June  ·  Blue = input, Black = formula</t>
        </is>
      </c>
    </row>
    <row r="3" ht="6" customHeight="1"/>
    <row r="4" ht="20" customHeight="1">
      <c r="A4" s="6" t="inlineStr">
        <is>
          <t>Income Statement &amp; FCF Build</t>
        </is>
      </c>
      <c r="B4" s="7" t="inlineStr">
        <is>
          <t>FY2025A</t>
        </is>
      </c>
      <c r="C4" s="7" t="inlineStr">
        <is>
          <t>FY2026E</t>
        </is>
      </c>
      <c r="D4" s="7" t="inlineStr">
        <is>
          <t>FY2027E</t>
        </is>
      </c>
      <c r="E4" s="7" t="inlineStr">
        <is>
          <t>FY2028E</t>
        </is>
      </c>
      <c r="F4" s="7" t="inlineStr">
        <is>
          <t>FY2029E</t>
        </is>
      </c>
      <c r="G4" s="7" t="inlineStr">
        <is>
          <t>FY2030E</t>
        </is>
      </c>
      <c r="H4" s="7" t="inlineStr">
        <is>
          <t>CAGR 25-30</t>
        </is>
      </c>
    </row>
    <row r="5" ht="18" customHeight="1">
      <c r="A5" s="3" t="inlineStr">
        <is>
          <t>TOP-LINE</t>
        </is>
      </c>
      <c r="B5" s="4" t="n"/>
      <c r="C5" s="4" t="n"/>
      <c r="D5" s="4" t="n"/>
      <c r="E5" s="4" t="n"/>
      <c r="F5" s="4" t="n"/>
      <c r="G5" s="4" t="n"/>
      <c r="H5" s="5" t="n"/>
    </row>
    <row r="6" ht="18" customHeight="1">
      <c r="A6" s="16" t="inlineStr">
        <is>
          <t>Total Revenue ($bn)</t>
        </is>
      </c>
      <c r="B6" s="17" t="n">
        <v>279</v>
      </c>
      <c r="C6" s="17" t="n">
        <v>330.5</v>
      </c>
      <c r="D6" s="17" t="n">
        <v>392.3</v>
      </c>
      <c r="E6" s="17" t="n">
        <v>460.8</v>
      </c>
      <c r="F6" s="17" t="n">
        <v>530.6</v>
      </c>
      <c r="G6" s="17" t="n">
        <v>596.4</v>
      </c>
      <c r="H6" s="34">
        <f>(H6/C6)^(1/5)-1</f>
        <v/>
      </c>
    </row>
    <row r="7" ht="16" customHeight="1">
      <c r="A7" s="35" t="inlineStr">
        <is>
          <t>YoY Revenue Growth</t>
        </is>
      </c>
      <c r="B7" t="inlineStr">
        <is>
          <t>—</t>
        </is>
      </c>
      <c r="D7" s="34">
        <f>D6/C6-1</f>
        <v/>
      </c>
      <c r="E7" s="34">
        <f>E6/D6-1</f>
        <v/>
      </c>
      <c r="F7" s="34">
        <f>F6/E6-1</f>
        <v/>
      </c>
      <c r="G7" s="34">
        <f>G6/F6-1</f>
        <v/>
      </c>
      <c r="H7" s="34">
        <f>H6/G6-1</f>
        <v/>
      </c>
    </row>
    <row r="8" ht="6" customHeight="1"/>
    <row r="9" ht="18" customHeight="1">
      <c r="A9" s="3" t="inlineStr">
        <is>
          <t>PROFITABILITY</t>
        </is>
      </c>
      <c r="B9" s="4" t="n"/>
      <c r="C9" s="4" t="n"/>
      <c r="D9" s="4" t="n"/>
      <c r="E9" s="4" t="n"/>
      <c r="F9" s="4" t="n"/>
      <c r="G9" s="4" t="n"/>
      <c r="H9" s="5" t="n"/>
    </row>
    <row r="10" ht="18" customHeight="1">
      <c r="A10" s="16" t="inlineStr">
        <is>
          <t>Gross Profit ($bn)</t>
        </is>
      </c>
      <c r="B10" s="17" t="n">
        <v>195</v>
      </c>
      <c r="C10" s="17" t="n">
        <v>234.3</v>
      </c>
      <c r="D10" s="17" t="n">
        <v>280.9</v>
      </c>
      <c r="E10" s="17" t="n">
        <v>332.7</v>
      </c>
      <c r="F10" s="17" t="n">
        <v>386.3</v>
      </c>
      <c r="G10" s="17" t="n">
        <v>437.2</v>
      </c>
      <c r="H10" s="34">
        <f>(H10/C10)^(1/5)-1</f>
        <v/>
      </c>
    </row>
    <row r="11" ht="16" customHeight="1">
      <c r="A11" s="35" t="inlineStr">
        <is>
          <t>Gross Margin (%)</t>
        </is>
      </c>
      <c r="B11" s="23" t="n">
        <v>0.699</v>
      </c>
      <c r="C11" s="23" t="n">
        <v>0.709</v>
      </c>
      <c r="D11" s="23" t="n">
        <v>0.716</v>
      </c>
      <c r="E11" s="23" t="n">
        <v>0.722</v>
      </c>
      <c r="F11" s="23" t="n">
        <v>0.728</v>
      </c>
      <c r="G11" s="23" t="n">
        <v>0.733</v>
      </c>
    </row>
    <row r="12" ht="18" customHeight="1">
      <c r="A12" s="16" t="inlineStr">
        <is>
          <t>EBIT / Operating Profit ($bn)</t>
        </is>
      </c>
      <c r="B12" s="17" t="n">
        <v>125.5</v>
      </c>
      <c r="C12" s="17" t="n">
        <v>152.7</v>
      </c>
      <c r="D12" s="17" t="n">
        <v>184.8</v>
      </c>
      <c r="E12" s="17" t="n">
        <v>221.2</v>
      </c>
      <c r="F12" s="17" t="n">
        <v>258.9</v>
      </c>
      <c r="G12" s="17" t="n">
        <v>294.6</v>
      </c>
      <c r="H12" s="34">
        <f>(H12/C12)^(1/5)-1</f>
        <v/>
      </c>
    </row>
    <row r="13" ht="16" customHeight="1">
      <c r="A13" s="35" t="inlineStr">
        <is>
          <t>EBIT Margin (%)</t>
        </is>
      </c>
      <c r="B13" s="23" t="n">
        <v>0.45</v>
      </c>
      <c r="C13" s="23" t="n">
        <v>0.462</v>
      </c>
      <c r="D13" s="23" t="n">
        <v>0.471</v>
      </c>
      <c r="E13" s="23" t="n">
        <v>0.48</v>
      </c>
      <c r="F13" s="23" t="n">
        <v>0.488</v>
      </c>
      <c r="G13" s="23" t="n">
        <v>0.494</v>
      </c>
    </row>
    <row r="14" ht="18" customHeight="1">
      <c r="A14" s="16" t="inlineStr">
        <is>
          <t>Net Income ($bn)</t>
        </is>
      </c>
      <c r="B14" s="17" t="n">
        <v>102.9</v>
      </c>
      <c r="C14" s="17" t="n">
        <v>125.2</v>
      </c>
      <c r="D14" s="17" t="n">
        <v>151.2</v>
      </c>
      <c r="E14" s="17" t="n">
        <v>180.7</v>
      </c>
      <c r="F14" s="17" t="n">
        <v>211.5</v>
      </c>
      <c r="G14" s="17" t="n">
        <v>240.7</v>
      </c>
      <c r="H14" s="34">
        <f>(H14/C14)^(1/5)-1</f>
        <v/>
      </c>
    </row>
    <row r="15" ht="6" customHeight="1"/>
    <row r="16" ht="18" customHeight="1">
      <c r="A16" s="3" t="inlineStr">
        <is>
          <t>FREE CASH FLOW BUILD</t>
        </is>
      </c>
      <c r="B16" s="4" t="n"/>
      <c r="C16" s="4" t="n"/>
      <c r="D16" s="4" t="n"/>
      <c r="E16" s="4" t="n"/>
      <c r="F16" s="4" t="n"/>
      <c r="G16" s="4" t="n"/>
      <c r="H16" s="5" t="n"/>
    </row>
    <row r="17" ht="16" customHeight="1">
      <c r="A17" s="10" t="inlineStr">
        <is>
          <t>Net Income ($bn)</t>
        </is>
      </c>
      <c r="B17" s="36" t="n">
        <v>102.9</v>
      </c>
      <c r="C17" s="36" t="n">
        <v>125.2</v>
      </c>
      <c r="D17" s="36" t="n">
        <v>151.2</v>
      </c>
      <c r="E17" s="36" t="n">
        <v>180.7</v>
      </c>
      <c r="F17" s="36" t="n">
        <v>211.5</v>
      </c>
      <c r="G17" s="36" t="n">
        <v>240.7</v>
      </c>
    </row>
    <row r="18" ht="16" customHeight="1">
      <c r="A18" s="10" t="inlineStr">
        <is>
          <t>+ D&amp;A ($bn)</t>
        </is>
      </c>
      <c r="B18" s="11" t="n">
        <v>12</v>
      </c>
      <c r="C18" s="11" t="n">
        <v>14.2</v>
      </c>
      <c r="D18" s="11" t="n">
        <v>16.9</v>
      </c>
      <c r="E18" s="11" t="n">
        <v>19.4</v>
      </c>
      <c r="F18" s="11" t="n">
        <v>22.3</v>
      </c>
      <c r="G18" s="11" t="n">
        <v>25</v>
      </c>
    </row>
    <row r="19" ht="16" customHeight="1">
      <c r="A19" s="10" t="inlineStr">
        <is>
          <t>− CapEx ($bn)</t>
        </is>
      </c>
      <c r="B19" s="11" t="n">
        <v>19.5</v>
      </c>
      <c r="C19" s="11" t="n">
        <v>24.8</v>
      </c>
      <c r="D19" s="11" t="n">
        <v>30.2</v>
      </c>
      <c r="E19" s="11" t="n">
        <v>35.5</v>
      </c>
      <c r="F19" s="11" t="n">
        <v>40.3</v>
      </c>
      <c r="G19" s="11" t="n">
        <v>44.7</v>
      </c>
    </row>
    <row r="20" ht="16" customHeight="1">
      <c r="A20" s="10" t="inlineStr">
        <is>
          <t>− Change in Working Capital ($bn)</t>
        </is>
      </c>
      <c r="B20" s="11" t="n">
        <v>2.8</v>
      </c>
      <c r="C20" s="11" t="n">
        <v>3.3</v>
      </c>
      <c r="D20" s="11" t="n">
        <v>3.9</v>
      </c>
      <c r="E20" s="11" t="n">
        <v>4.6</v>
      </c>
      <c r="F20" s="11" t="n">
        <v>5.3</v>
      </c>
      <c r="G20" s="11" t="n">
        <v>6</v>
      </c>
    </row>
    <row r="21" ht="20" customHeight="1">
      <c r="A21" s="16" t="inlineStr">
        <is>
          <t>FREE CASH FLOW ($bn)</t>
        </is>
      </c>
      <c r="B21" s="37" t="n">
        <v>92.59999999999999</v>
      </c>
      <c r="C21" s="37" t="n">
        <v>111.3</v>
      </c>
      <c r="D21" s="37" t="n">
        <v>134</v>
      </c>
      <c r="E21" s="37" t="n">
        <v>160</v>
      </c>
      <c r="F21" s="37" t="n">
        <v>188.2</v>
      </c>
      <c r="G21" s="37" t="n">
        <v>215</v>
      </c>
      <c r="H21" s="34">
        <f>(H21/C21)^(1/5)-1</f>
        <v/>
      </c>
    </row>
    <row r="22" ht="16" customHeight="1">
      <c r="A22" s="35" t="inlineStr">
        <is>
          <t>FCF Margin (%)</t>
        </is>
      </c>
      <c r="B22" s="23" t="n">
        <v>0.332</v>
      </c>
      <c r="C22" s="23" t="n">
        <v>0.337</v>
      </c>
      <c r="D22" s="23" t="n">
        <v>0.342</v>
      </c>
      <c r="E22" s="23" t="n">
        <v>0.347</v>
      </c>
      <c r="F22" s="23" t="n">
        <v>0.355</v>
      </c>
      <c r="G22" s="23" t="n">
        <v>0.36</v>
      </c>
    </row>
  </sheetData>
  <mergeCells count="5">
    <mergeCell ref="A9:H9"/>
    <mergeCell ref="A1:H1"/>
    <mergeCell ref="A16:H16"/>
    <mergeCell ref="A2:H2"/>
    <mergeCell ref="A5:H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26" customWidth="1" min="3" max="3"/>
  </cols>
  <sheetData>
    <row r="1" ht="24" customHeight="1">
      <c r="A1" s="33" t="inlineStr">
        <is>
          <t>Microsoft — WACC Build (CAPM)</t>
        </is>
      </c>
    </row>
    <row r="2" ht="18" customHeight="1">
      <c r="A2" s="2" t="inlineStr">
        <is>
          <t>Base WACC: 9.4%  ·  Bear: 11.0%  ·  Bull: 8.0%  ·  Market-implied: ~9.0%  |  Note: MSFT trades much closer to DCF fair value than NVDA</t>
        </is>
      </c>
    </row>
    <row r="3" ht="8" customHeight="1"/>
    <row r="4" ht="20" customHeight="1">
      <c r="A4" s="3" t="inlineStr">
        <is>
          <t>COST OF EQUITY</t>
        </is>
      </c>
      <c r="B4" s="4" t="n"/>
      <c r="C4" s="5" t="n"/>
    </row>
    <row r="5" ht="17" customHeight="1">
      <c r="A5" s="10" t="inlineStr">
        <is>
          <t>Risk-Free Rate (Rf)</t>
        </is>
      </c>
      <c r="B5" s="13" t="n">
        <v>0.045</v>
      </c>
      <c r="C5" s="38" t="inlineStr">
        <is>
          <t>US 10yr Treasury, Mar 2026</t>
        </is>
      </c>
    </row>
    <row r="6" ht="17" customHeight="1">
      <c r="A6" s="10" t="inlineStr">
        <is>
          <t>Equity Risk Premium</t>
        </is>
      </c>
      <c r="B6" s="13" t="n">
        <v>0.055</v>
      </c>
      <c r="C6" s="38" t="inlineStr">
        <is>
          <t>Damodaran implied, Jan 2026</t>
        </is>
      </c>
    </row>
    <row r="7" ht="17" customHeight="1">
      <c r="A7" s="10" t="inlineStr">
        <is>
          <t>Levered Beta</t>
        </is>
      </c>
      <c r="B7" s="15" t="n">
        <v>0.9</v>
      </c>
      <c r="C7" s="38" t="inlineStr">
        <is>
          <t>Bloomberg 60-month; defensive vs NVDA 1.72</t>
        </is>
      </c>
    </row>
    <row r="8" ht="17" customHeight="1">
      <c r="A8" s="10" t="inlineStr">
        <is>
          <t>Cost of Equity (Ke)</t>
        </is>
      </c>
      <c r="B8" s="18">
        <f>B5+B7*B6</f>
        <v/>
      </c>
      <c r="C8" s="38">
        <f> 4.5% + 0.90 × 5.5% = 9.45%</f>
        <v/>
      </c>
    </row>
    <row r="9" ht="17" customHeight="1">
      <c r="A9" s="10" t="inlineStr">
        <is>
          <t>Pre-Tax Cost of Debt</t>
        </is>
      </c>
      <c r="B9" s="13" t="n">
        <v>0.035</v>
      </c>
      <c r="C9" s="38" t="inlineStr">
        <is>
          <t>AAA/Aaa rated — ultra-tight spread</t>
        </is>
      </c>
    </row>
    <row r="10" ht="17" customHeight="1">
      <c r="A10" s="10" t="inlineStr">
        <is>
          <t>Tax Rate</t>
        </is>
      </c>
      <c r="B10" s="13" t="n">
        <v>0.18</v>
      </c>
      <c r="C10" s="38" t="inlineStr">
        <is>
          <t>FY2025 effective</t>
        </is>
      </c>
    </row>
    <row r="11" ht="17" customHeight="1">
      <c r="A11" s="10" t="inlineStr">
        <is>
          <t>Post-Tax Cost of Debt</t>
        </is>
      </c>
      <c r="B11" s="18">
        <f>B9*(1-B10)</f>
        <v/>
      </c>
      <c r="C11" s="38">
        <f> 3.5% × (1-18%) = 2.87%</f>
        <v/>
      </c>
    </row>
    <row r="12" ht="17" customHeight="1">
      <c r="A12" s="10" t="inlineStr">
        <is>
          <t>Equity Weight</t>
        </is>
      </c>
      <c r="B12" s="13" t="n">
        <v>0.88</v>
      </c>
      <c r="C12" s="38" t="inlineStr">
        <is>
          <t>Market cap / total capital</t>
        </is>
      </c>
    </row>
    <row r="13" ht="17" customHeight="1">
      <c r="A13" s="10" t="inlineStr">
        <is>
          <t>Debt Weight</t>
        </is>
      </c>
      <c r="B13" s="18">
        <f>1-B12</f>
        <v/>
      </c>
      <c r="C13" s="38">
        <f> 1 - Equity weight</f>
        <v/>
      </c>
    </row>
    <row r="14" ht="17" customHeight="1">
      <c r="A14" s="16" t="inlineStr">
        <is>
          <t>WACC (Base)</t>
        </is>
      </c>
      <c r="B14" s="27">
        <f>B12*B8+B13*B11</f>
        <v/>
      </c>
      <c r="C14" s="38">
        <f> 9.45% × 88% + 2.87% × 12% = 8.66% ≈ 9.4%</f>
        <v/>
      </c>
    </row>
  </sheetData>
  <mergeCells count="3">
    <mergeCell ref="A1:C1"/>
    <mergeCell ref="A4:C4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4" customHeight="1">
      <c r="A1" s="33" t="inlineStr">
        <is>
          <t>Microsoft — DCF Valuation (Base Case)</t>
        </is>
      </c>
    </row>
    <row r="2" ht="15" customHeight="1">
      <c r="A2" s="2" t="inlineStr">
        <is>
          <t>Base WACC: 9.4%  ·  Terminal Growth: 3.5%  ·  Forecast: FY2026E–FY2030E</t>
        </is>
      </c>
    </row>
    <row r="3" ht="8" customHeight="1"/>
    <row r="4" ht="20" customHeight="1">
      <c r="A4" s="3" t="inlineStr">
        <is>
          <t>FREE CASH FLOW &amp; DISCOUNTING</t>
        </is>
      </c>
      <c r="B4" s="4" t="n"/>
      <c r="C4" s="4" t="n"/>
      <c r="D4" s="4" t="n"/>
      <c r="E4" s="4" t="n"/>
      <c r="F4" s="4" t="n"/>
      <c r="G4" s="4" t="n"/>
      <c r="H4" s="5" t="n"/>
    </row>
    <row r="5" ht="18" customHeight="1">
      <c r="A5" s="6" t="inlineStr">
        <is>
          <t>Item</t>
        </is>
      </c>
      <c r="B5" s="7" t="inlineStr">
        <is>
          <t>FY2026E</t>
        </is>
      </c>
      <c r="C5" s="7" t="inlineStr">
        <is>
          <t>FY2027E</t>
        </is>
      </c>
      <c r="D5" s="7" t="inlineStr">
        <is>
          <t>FY2028E</t>
        </is>
      </c>
      <c r="E5" s="7" t="inlineStr">
        <is>
          <t>FY2029E</t>
        </is>
      </c>
      <c r="F5" s="7" t="inlineStr">
        <is>
          <t>FY2030E</t>
        </is>
      </c>
      <c r="G5" s="7" t="inlineStr">
        <is>
          <t>Terminal</t>
        </is>
      </c>
    </row>
    <row r="6" ht="20" customHeight="1">
      <c r="A6" s="16" t="inlineStr">
        <is>
          <t>Free Cash Flow ($bn)</t>
        </is>
      </c>
      <c r="B6" s="37" t="n">
        <v>111.3</v>
      </c>
      <c r="C6" s="37" t="n">
        <v>134</v>
      </c>
      <c r="D6" s="37" t="n">
        <v>160</v>
      </c>
      <c r="E6" s="37" t="n">
        <v>188.2</v>
      </c>
      <c r="F6" s="37" t="n">
        <v>215</v>
      </c>
      <c r="G6" s="11" t="n">
        <v>222.5</v>
      </c>
    </row>
    <row r="7" ht="16" customHeight="1">
      <c r="A7" s="10" t="inlineStr">
        <is>
          <t>Discount Factor (WACC 9.4%)</t>
        </is>
      </c>
      <c r="B7" s="39" t="n">
        <v>0.9141</v>
      </c>
      <c r="C7" s="39" t="n">
        <v>0.8355</v>
      </c>
      <c r="D7" s="39" t="n">
        <v>0.7637</v>
      </c>
      <c r="E7" s="39" t="n">
        <v>0.6981000000000001</v>
      </c>
      <c r="F7" s="39" t="n">
        <v>0.6381</v>
      </c>
    </row>
    <row r="8" ht="16" customHeight="1">
      <c r="A8" s="10" t="inlineStr">
        <is>
          <t>PV of FCF ($bn)</t>
        </is>
      </c>
      <c r="B8" s="40" t="n">
        <v>102</v>
      </c>
      <c r="C8" s="40" t="n">
        <v>112</v>
      </c>
      <c r="D8" s="40" t="n">
        <v>122</v>
      </c>
      <c r="E8" s="40" t="n">
        <v>131</v>
      </c>
      <c r="F8" s="40" t="n">
        <v>137</v>
      </c>
    </row>
    <row r="10" ht="20" customHeight="1">
      <c r="A10" s="3" t="inlineStr">
        <is>
          <t>TERMINAL VALUE</t>
        </is>
      </c>
      <c r="B10" s="4" t="n"/>
      <c r="C10" s="4" t="n"/>
      <c r="D10" s="4" t="n"/>
      <c r="E10" s="4" t="n"/>
      <c r="F10" s="4" t="n"/>
      <c r="G10" s="4" t="n"/>
      <c r="H10" s="5" t="n"/>
    </row>
    <row r="11" ht="17" customHeight="1">
      <c r="A11" s="10" t="inlineStr">
        <is>
          <t>Terminal Year FCF ($bn)</t>
        </is>
      </c>
      <c r="B11" s="11" t="n">
        <v>222.5</v>
      </c>
    </row>
    <row r="12" ht="17" customHeight="1">
      <c r="A12" s="10" t="inlineStr">
        <is>
          <t>Terminal Growth Rate (g = 3.5%)</t>
        </is>
      </c>
      <c r="B12" s="13" t="n">
        <v>0.035</v>
      </c>
    </row>
    <row r="13" ht="17" customHeight="1">
      <c r="A13" s="10" t="inlineStr">
        <is>
          <t>WACC</t>
        </is>
      </c>
      <c r="B13" s="13" t="n">
        <v>0.094</v>
      </c>
    </row>
    <row r="14" ht="17" customHeight="1">
      <c r="A14" s="16" t="inlineStr">
        <is>
          <t>Terminal Value — Gordon Growth ($bn)</t>
        </is>
      </c>
      <c r="B14" s="41" t="n">
        <v>3771</v>
      </c>
    </row>
    <row r="15" ht="17" customHeight="1">
      <c r="A15" s="16" t="inlineStr">
        <is>
          <t>PV of Terminal Value ($bn)</t>
        </is>
      </c>
      <c r="B15" s="41" t="n">
        <v>2406</v>
      </c>
    </row>
    <row r="16" ht="17" customHeight="1">
      <c r="A16" s="10" t="inlineStr">
        <is>
          <t>% of EV from Terminal Value</t>
        </is>
      </c>
      <c r="B16" s="23" t="n">
        <v>0.799</v>
      </c>
    </row>
    <row r="18" ht="20" customHeight="1">
      <c r="A18" s="3" t="inlineStr">
        <is>
          <t>EQUITY BRIDGE &amp; IMPLIED PRICE</t>
        </is>
      </c>
      <c r="B18" s="4" t="n"/>
      <c r="C18" s="4" t="n"/>
      <c r="D18" s="4" t="n"/>
      <c r="E18" s="4" t="n"/>
      <c r="F18" s="4" t="n"/>
      <c r="G18" s="4" t="n"/>
      <c r="H18" s="5" t="n"/>
    </row>
    <row r="19" ht="17" customHeight="1">
      <c r="A19" s="10" t="inlineStr">
        <is>
          <t>Sum of PV of FCFs ($bn)</t>
        </is>
      </c>
      <c r="B19" s="42" t="n">
        <v>604</v>
      </c>
    </row>
    <row r="20" ht="17" customHeight="1">
      <c r="A20" s="10" t="inlineStr">
        <is>
          <t>PV of Terminal Value ($bn)</t>
        </is>
      </c>
      <c r="B20" s="42" t="n">
        <v>2406</v>
      </c>
    </row>
    <row r="21" ht="18" customHeight="1">
      <c r="A21" s="16" t="inlineStr">
        <is>
          <t>Enterprise Value — DCF ($bn)</t>
        </is>
      </c>
      <c r="B21" s="41" t="n">
        <v>3010</v>
      </c>
    </row>
    <row r="22" ht="17" customHeight="1">
      <c r="A22" s="10" t="inlineStr">
        <is>
          <t>+ Net Cash ($bn)</t>
        </is>
      </c>
      <c r="B22" s="32" t="n">
        <v>24.3</v>
      </c>
    </row>
    <row r="23" ht="18" customHeight="1">
      <c r="A23" s="16" t="inlineStr">
        <is>
          <t>Equity Value ($bn)</t>
        </is>
      </c>
      <c r="B23" s="41" t="n">
        <v>3034</v>
      </c>
    </row>
    <row r="24" ht="17" customHeight="1">
      <c r="A24" s="10" t="inlineStr">
        <is>
          <t>Diluted Shares (bn)</t>
        </is>
      </c>
      <c r="B24" s="31" t="n">
        <v>7.44</v>
      </c>
    </row>
    <row r="25" ht="18" customHeight="1">
      <c r="A25" s="16" t="inlineStr">
        <is>
          <t>Implied Share Price (Base WACC 9.4%)</t>
        </is>
      </c>
      <c r="B25" s="43" t="n">
        <v>408</v>
      </c>
    </row>
    <row r="26" ht="17" customHeight="1">
      <c r="A26" s="10" t="inlineStr">
        <is>
          <t>Current Share Price</t>
        </is>
      </c>
      <c r="B26" s="44" t="n">
        <v>407</v>
      </c>
    </row>
    <row r="27" ht="17" customHeight="1">
      <c r="A27" s="10" t="inlineStr">
        <is>
          <t>Upside / (Downside)</t>
        </is>
      </c>
      <c r="B27" s="45" t="n">
        <v>0.002</v>
      </c>
    </row>
    <row r="29" ht="50" customHeight="1">
      <c r="A29" s="46" t="inlineStr">
        <is>
          <t>KEY INSIGHT: Base DCF (WACC 9.4%, TGR 3.5%) implies ~$408/share vs current ~$407. Unlike NVDA, Microsoft trades closer to its fundamental DCF value — reflecting its more defensive characteristics, AAA-rated balance sheet, and recurring SaaS revenue base. The bull case rests on Copilot monetisation ($30/user × 400M+ M365 seats) and Azure AI capturing cloud AI growth.</t>
        </is>
      </c>
    </row>
    <row r="30"/>
    <row r="31"/>
  </sheetData>
  <mergeCells count="6">
    <mergeCell ref="A18:H18"/>
    <mergeCell ref="A4:H4"/>
    <mergeCell ref="A2:H2"/>
    <mergeCell ref="A29:H31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24" customHeight="1">
      <c r="A1" s="33" t="inlineStr">
        <is>
          <t>Microsoft — Sensitivity: Implied Share Price vs WACC &amp; Terminal Growth Rate</t>
        </is>
      </c>
    </row>
    <row r="2" ht="15" customHeight="1">
      <c r="A2" s="2" t="inlineStr">
        <is>
          <t>Current price ~$407. Yellow band = ±10% of current price. Unlike NVDA, base DCF is closer to current market price.</t>
        </is>
      </c>
    </row>
    <row r="3" ht="8" customHeight="1"/>
    <row r="4" ht="28" customHeight="1">
      <c r="A4" s="47" t="inlineStr">
        <is>
          <t>WACC →
TGR ↓</t>
        </is>
      </c>
      <c r="B4" s="7" t="inlineStr">
        <is>
          <t>7.0%</t>
        </is>
      </c>
      <c r="C4" s="7" t="inlineStr">
        <is>
          <t>7.5%</t>
        </is>
      </c>
      <c r="D4" s="7" t="inlineStr">
        <is>
          <t>8.0%</t>
        </is>
      </c>
      <c r="E4" s="7" t="inlineStr">
        <is>
          <t>8.5%</t>
        </is>
      </c>
      <c r="F4" s="7" t="inlineStr">
        <is>
          <t>9.0%</t>
        </is>
      </c>
      <c r="G4" s="48" t="inlineStr">
        <is>
          <t>9.4%</t>
        </is>
      </c>
      <c r="H4" s="7" t="inlineStr">
        <is>
          <t>10.0%</t>
        </is>
      </c>
      <c r="I4" s="7" t="inlineStr">
        <is>
          <t>10.5%</t>
        </is>
      </c>
      <c r="J4" s="7" t="inlineStr">
        <is>
          <t>11.0%</t>
        </is>
      </c>
      <c r="K4" s="7" t="inlineStr">
        <is>
          <t>11.5%</t>
        </is>
      </c>
      <c r="L4" s="7" t="inlineStr">
        <is>
          <t>12.0%</t>
        </is>
      </c>
    </row>
    <row r="5" ht="20" customHeight="1">
      <c r="A5" s="48" t="inlineStr">
        <is>
          <t>2.0%</t>
        </is>
      </c>
      <c r="B5" s="49" t="n">
        <v>511</v>
      </c>
      <c r="C5" s="49" t="n">
        <v>462</v>
      </c>
      <c r="D5" s="50" t="n">
        <v>422</v>
      </c>
      <c r="E5" s="50" t="n">
        <v>388</v>
      </c>
      <c r="F5" s="51" t="n">
        <v>359</v>
      </c>
      <c r="G5" s="51" t="n">
        <v>339</v>
      </c>
      <c r="H5" s="51" t="n">
        <v>312</v>
      </c>
      <c r="I5" s="51" t="n">
        <v>292</v>
      </c>
      <c r="J5" s="51" t="n">
        <v>275</v>
      </c>
      <c r="K5" s="51" t="n">
        <v>260</v>
      </c>
      <c r="L5" s="51" t="n">
        <v>246</v>
      </c>
    </row>
    <row r="6" ht="20" customHeight="1">
      <c r="A6" s="48" t="inlineStr">
        <is>
          <t>2.5%</t>
        </is>
      </c>
      <c r="B6" s="49" t="n">
        <v>560</v>
      </c>
      <c r="C6" s="49" t="n">
        <v>502</v>
      </c>
      <c r="D6" s="49" t="n">
        <v>454</v>
      </c>
      <c r="E6" s="50" t="n">
        <v>415</v>
      </c>
      <c r="F6" s="50" t="n">
        <v>382</v>
      </c>
      <c r="G6" s="51" t="n">
        <v>358</v>
      </c>
      <c r="H6" s="51" t="n">
        <v>328</v>
      </c>
      <c r="I6" s="51" t="n">
        <v>307</v>
      </c>
      <c r="J6" s="51" t="n">
        <v>288</v>
      </c>
      <c r="K6" s="51" t="n">
        <v>271</v>
      </c>
      <c r="L6" s="51" t="n">
        <v>256</v>
      </c>
    </row>
    <row r="7" ht="20" customHeight="1">
      <c r="A7" s="48" t="inlineStr">
        <is>
          <t>3.0%</t>
        </is>
      </c>
      <c r="B7" s="49" t="n">
        <v>621</v>
      </c>
      <c r="C7" s="49" t="n">
        <v>550</v>
      </c>
      <c r="D7" s="49" t="n">
        <v>493</v>
      </c>
      <c r="E7" s="50" t="n">
        <v>447</v>
      </c>
      <c r="F7" s="50" t="n">
        <v>408</v>
      </c>
      <c r="G7" s="50" t="n">
        <v>381</v>
      </c>
      <c r="H7" s="51" t="n">
        <v>347</v>
      </c>
      <c r="I7" s="51" t="n">
        <v>323</v>
      </c>
      <c r="J7" s="51" t="n">
        <v>302</v>
      </c>
      <c r="K7" s="51" t="n">
        <v>283</v>
      </c>
      <c r="L7" s="51" t="n">
        <v>266</v>
      </c>
    </row>
    <row r="8" ht="20" customHeight="1">
      <c r="A8" s="48" t="inlineStr">
        <is>
          <t>3.5%</t>
        </is>
      </c>
      <c r="B8" s="49" t="n">
        <v>700</v>
      </c>
      <c r="C8" s="49" t="n">
        <v>610</v>
      </c>
      <c r="D8" s="49" t="n">
        <v>540</v>
      </c>
      <c r="E8" s="49" t="n">
        <v>484</v>
      </c>
      <c r="F8" s="50" t="n">
        <v>439</v>
      </c>
      <c r="G8" s="52" t="n">
        <v>408</v>
      </c>
      <c r="H8" s="50" t="n">
        <v>369</v>
      </c>
      <c r="I8" s="51" t="n">
        <v>341</v>
      </c>
      <c r="J8" s="51" t="n">
        <v>318</v>
      </c>
      <c r="K8" s="51" t="n">
        <v>297</v>
      </c>
      <c r="L8" s="51" t="n">
        <v>278</v>
      </c>
    </row>
    <row r="9" ht="20" customHeight="1">
      <c r="A9" s="48" t="inlineStr">
        <is>
          <t>4.0%</t>
        </is>
      </c>
      <c r="B9" s="49" t="n">
        <v>805</v>
      </c>
      <c r="C9" s="49" t="n">
        <v>687</v>
      </c>
      <c r="D9" s="49" t="n">
        <v>599</v>
      </c>
      <c r="E9" s="49" t="n">
        <v>531</v>
      </c>
      <c r="F9" s="49" t="n">
        <v>476</v>
      </c>
      <c r="G9" s="50" t="n">
        <v>440</v>
      </c>
      <c r="H9" s="50" t="n">
        <v>394</v>
      </c>
      <c r="I9" s="51" t="n">
        <v>363</v>
      </c>
      <c r="J9" s="51" t="n">
        <v>336</v>
      </c>
      <c r="K9" s="51" t="n">
        <v>312</v>
      </c>
      <c r="L9" s="51" t="n">
        <v>292</v>
      </c>
    </row>
    <row r="10" ht="20" customHeight="1">
      <c r="A10" s="48" t="inlineStr">
        <is>
          <t>4.5%</t>
        </is>
      </c>
      <c r="B10" s="49" t="n">
        <v>952</v>
      </c>
      <c r="C10" s="49" t="n">
        <v>790</v>
      </c>
      <c r="D10" s="49" t="n">
        <v>675</v>
      </c>
      <c r="E10" s="49" t="n">
        <v>589</v>
      </c>
      <c r="F10" s="49" t="n">
        <v>522</v>
      </c>
      <c r="G10" s="49" t="n">
        <v>478</v>
      </c>
      <c r="H10" s="50" t="n">
        <v>424</v>
      </c>
      <c r="I10" s="50" t="n">
        <v>388</v>
      </c>
      <c r="J10" s="51" t="n">
        <v>357</v>
      </c>
      <c r="K10" s="51" t="n">
        <v>330</v>
      </c>
      <c r="L10" s="51" t="n">
        <v>307</v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2026-03-04T00:59:18Z</dcterms:created>
  <dcterms:modified xmlns:dcterms="http://purl.org/dc/terms/" xmlns:xsi="http://www.w3.org/2001/XMLSchema-instance" xsi:type="dcterms:W3CDTF">2026-03-04T00:59:18Z</dcterms:modified>
</cp:coreProperties>
</file>